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0" documentId="8_{DA44B9BE-FE06-4F86-8C1E-20D123EA900A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Analysis" sheetId="2" r:id="rId1"/>
    <sheet name="Clean data" sheetId="1" r:id="rId2"/>
    <sheet name="Data for Jasp" sheetId="3" r:id="rId3"/>
  </sheets>
  <calcPr calcId="191028"/>
  <pivotCaches>
    <pivotCache cacheId="269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F8" i="2"/>
  <c r="D8" i="2"/>
  <c r="B8" i="2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</calcChain>
</file>

<file path=xl/sharedStrings.xml><?xml version="1.0" encoding="utf-8"?>
<sst xmlns="http://schemas.openxmlformats.org/spreadsheetml/2006/main" count="388" uniqueCount="20">
  <si>
    <t>Participant</t>
  </si>
  <si>
    <t>Values</t>
  </si>
  <si>
    <t>P3</t>
  </si>
  <si>
    <t>P4</t>
  </si>
  <si>
    <t>P5</t>
  </si>
  <si>
    <t>Condition</t>
  </si>
  <si>
    <t>Average of key_resp.rt</t>
  </si>
  <si>
    <t>Average of key_resp.corr</t>
  </si>
  <si>
    <t>Congruent</t>
  </si>
  <si>
    <t>Incongruent</t>
  </si>
  <si>
    <t>Stroop Effect</t>
  </si>
  <si>
    <t>Std dev</t>
  </si>
  <si>
    <t>word</t>
  </si>
  <si>
    <t>colour</t>
  </si>
  <si>
    <t>key_resp.corr</t>
  </si>
  <si>
    <t>key_resp.rt</t>
  </si>
  <si>
    <t>RED</t>
  </si>
  <si>
    <t>red</t>
  </si>
  <si>
    <t>BLUE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</si>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</sst>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0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94.946543634258" createdVersion="8" refreshedVersion="8" minRefreshableVersion="3" recordCount="121" xr:uid="{0A7B27B6-6773-42EB-8F6B-D61924D5E046}">
  <cacheSource type="worksheet">
    <worksheetSource ref="A1:F1048576" sheet="Clean data"/>
  </cacheSource>
  <cacheFields count="6">
    <cacheField name="Participant" numFmtId="0">
      <sharedItems containsBlank="1" count="4">
        <s v="P3"/>
        <s v="P4"/>
        <s v="P5"/>
        <m/>
      </sharedItems>
    </cacheField>
    <cacheField name="word" numFmtId="0">
      <sharedItems containsBlank="1"/>
    </cacheField>
    <cacheField name="colour" numFmtId="0">
      <sharedItems containsBlank="1"/>
    </cacheField>
    <cacheField name="key_resp.corr" numFmtId="0">
      <sharedItems containsString="0" containsBlank="1" containsNumber="1" containsInteger="1" minValue="0" maxValue="1"/>
    </cacheField>
    <cacheField name="key_resp.rt" numFmtId="0">
      <sharedItems containsString="0" containsBlank="1" containsNumber="1" minValue="0.354717099922709" maxValue="3.0776500999927499"/>
    </cacheField>
    <cacheField name="Condition" numFmtId="0">
      <sharedItems containsBlank="1" count="3">
        <s v="Congruent"/>
        <s v="Incongruen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x v="0"/>
    <s v="RED"/>
    <s v="red"/>
    <n v="1"/>
    <n v="1.76416930009145"/>
    <x v="0"/>
  </r>
  <r>
    <x v="0"/>
    <s v="BLUE"/>
    <s v="blue"/>
    <n v="1"/>
    <n v="1.09784609999042"/>
    <x v="0"/>
  </r>
  <r>
    <x v="0"/>
    <s v="RED"/>
    <s v="blue"/>
    <n v="1"/>
    <n v="1.1983743000309901"/>
    <x v="1"/>
  </r>
  <r>
    <x v="0"/>
    <s v="BLUE"/>
    <s v="red"/>
    <n v="1"/>
    <n v="0.66319280001334802"/>
    <x v="1"/>
  </r>
  <r>
    <x v="0"/>
    <s v="BLUE"/>
    <s v="red"/>
    <n v="1"/>
    <n v="1.0276255999924599"/>
    <x v="1"/>
  </r>
  <r>
    <x v="0"/>
    <s v="RED"/>
    <s v="blue"/>
    <n v="1"/>
    <n v="0.59724760008975797"/>
    <x v="1"/>
  </r>
  <r>
    <x v="0"/>
    <s v="RED"/>
    <s v="red"/>
    <n v="1"/>
    <n v="0.51417940005194396"/>
    <x v="0"/>
  </r>
  <r>
    <x v="0"/>
    <s v="BLUE"/>
    <s v="blue"/>
    <n v="1"/>
    <n v="0.447730400017462"/>
    <x v="0"/>
  </r>
  <r>
    <x v="0"/>
    <s v="BLUE"/>
    <s v="red"/>
    <n v="1"/>
    <n v="0.98105229996144705"/>
    <x v="1"/>
  </r>
  <r>
    <x v="0"/>
    <s v="RED"/>
    <s v="red"/>
    <n v="1"/>
    <n v="0.98562109994236302"/>
    <x v="0"/>
  </r>
  <r>
    <x v="0"/>
    <s v="RED"/>
    <s v="blue"/>
    <n v="1"/>
    <n v="0.54879470006562703"/>
    <x v="1"/>
  </r>
  <r>
    <x v="0"/>
    <s v="BLUE"/>
    <s v="blue"/>
    <n v="1"/>
    <n v="0.54005499999038797"/>
    <x v="0"/>
  </r>
  <r>
    <x v="0"/>
    <s v="BLUE"/>
    <s v="red"/>
    <n v="1"/>
    <n v="0.523748199921101"/>
    <x v="1"/>
  </r>
  <r>
    <x v="0"/>
    <s v="RED"/>
    <s v="blue"/>
    <n v="1"/>
    <n v="0.64030410000122995"/>
    <x v="1"/>
  </r>
  <r>
    <x v="0"/>
    <s v="RED"/>
    <s v="red"/>
    <n v="1"/>
    <n v="0.52271270006894999"/>
    <x v="0"/>
  </r>
  <r>
    <x v="0"/>
    <s v="BLUE"/>
    <s v="blue"/>
    <n v="1"/>
    <n v="0.52052279992494699"/>
    <x v="0"/>
  </r>
  <r>
    <x v="0"/>
    <s v="BLUE"/>
    <s v="red"/>
    <n v="1"/>
    <n v="0.57968739990610596"/>
    <x v="1"/>
  </r>
  <r>
    <x v="0"/>
    <s v="BLUE"/>
    <s v="blue"/>
    <n v="1"/>
    <n v="0.50090690003708005"/>
    <x v="0"/>
  </r>
  <r>
    <x v="0"/>
    <s v="RED"/>
    <s v="red"/>
    <n v="1"/>
    <n v="0.464130400097928"/>
    <x v="0"/>
  </r>
  <r>
    <x v="0"/>
    <s v="RED"/>
    <s v="blue"/>
    <n v="1"/>
    <n v="0.45998290006536902"/>
    <x v="1"/>
  </r>
  <r>
    <x v="0"/>
    <s v="RED"/>
    <s v="blue"/>
    <n v="1"/>
    <n v="0.52533720002975304"/>
    <x v="1"/>
  </r>
  <r>
    <x v="0"/>
    <s v="BLUE"/>
    <s v="red"/>
    <n v="1"/>
    <n v="0.55217530007939697"/>
    <x v="1"/>
  </r>
  <r>
    <x v="0"/>
    <s v="BLUE"/>
    <s v="blue"/>
    <n v="1"/>
    <n v="0.47409019991755402"/>
    <x v="0"/>
  </r>
  <r>
    <x v="0"/>
    <s v="RED"/>
    <s v="red"/>
    <n v="1"/>
    <n v="0.52707750000990905"/>
    <x v="0"/>
  </r>
  <r>
    <x v="0"/>
    <s v="RED"/>
    <s v="red"/>
    <n v="1"/>
    <n v="0.51186430000234395"/>
    <x v="0"/>
  </r>
  <r>
    <x v="0"/>
    <s v="RED"/>
    <s v="blue"/>
    <n v="1"/>
    <n v="0.50503650004975498"/>
    <x v="1"/>
  </r>
  <r>
    <x v="0"/>
    <s v="BLUE"/>
    <s v="blue"/>
    <n v="1"/>
    <n v="0.52042950002942201"/>
    <x v="0"/>
  </r>
  <r>
    <x v="0"/>
    <s v="BLUE"/>
    <s v="red"/>
    <n v="1"/>
    <n v="0.57054330001119502"/>
    <x v="1"/>
  </r>
  <r>
    <x v="0"/>
    <s v="RED"/>
    <s v="blue"/>
    <n v="1"/>
    <n v="1.0118225000333001"/>
    <x v="1"/>
  </r>
  <r>
    <x v="0"/>
    <s v="BLUE"/>
    <s v="blue"/>
    <n v="1"/>
    <n v="0.64664649998303503"/>
    <x v="0"/>
  </r>
  <r>
    <x v="0"/>
    <s v="BLUE"/>
    <s v="red"/>
    <n v="1"/>
    <n v="0.58606200001668096"/>
    <x v="1"/>
  </r>
  <r>
    <x v="0"/>
    <s v="RED"/>
    <s v="red"/>
    <n v="1"/>
    <n v="0.82086310000158802"/>
    <x v="0"/>
  </r>
  <r>
    <x v="0"/>
    <s v="RED"/>
    <s v="blue"/>
    <n v="1"/>
    <n v="0.46165599999949303"/>
    <x v="1"/>
  </r>
  <r>
    <x v="0"/>
    <s v="BLUE"/>
    <s v="blue"/>
    <n v="1"/>
    <n v="0.44414309994317502"/>
    <x v="0"/>
  </r>
  <r>
    <x v="0"/>
    <s v="BLUE"/>
    <s v="red"/>
    <n v="1"/>
    <n v="0.53249240003060505"/>
    <x v="1"/>
  </r>
  <r>
    <x v="0"/>
    <s v="RED"/>
    <s v="red"/>
    <n v="1"/>
    <n v="0.53070000000298001"/>
    <x v="0"/>
  </r>
  <r>
    <x v="0"/>
    <s v="BLUE"/>
    <s v="red"/>
    <n v="1"/>
    <n v="0.391977200051769"/>
    <x v="1"/>
  </r>
  <r>
    <x v="0"/>
    <s v="RED"/>
    <s v="blue"/>
    <n v="1"/>
    <n v="0.41685759997926602"/>
    <x v="1"/>
  </r>
  <r>
    <x v="0"/>
    <s v="BLUE"/>
    <s v="blue"/>
    <n v="1"/>
    <n v="0.354717099922709"/>
    <x v="0"/>
  </r>
  <r>
    <x v="0"/>
    <s v="RED"/>
    <s v="red"/>
    <n v="1"/>
    <n v="0.42674230004195102"/>
    <x v="0"/>
  </r>
  <r>
    <x v="1"/>
    <s v="RED"/>
    <s v="blue"/>
    <n v="1"/>
    <n v="1.81371679995208"/>
    <x v="1"/>
  </r>
  <r>
    <x v="1"/>
    <s v="BLUE"/>
    <s v="blue"/>
    <n v="1"/>
    <n v="1.4988050999818301"/>
    <x v="0"/>
  </r>
  <r>
    <x v="1"/>
    <s v="RED"/>
    <s v="red"/>
    <n v="1"/>
    <n v="1.32192500005476"/>
    <x v="0"/>
  </r>
  <r>
    <x v="1"/>
    <s v="BLUE"/>
    <s v="red"/>
    <n v="1"/>
    <n v="2.05105739994905"/>
    <x v="1"/>
  </r>
  <r>
    <x v="1"/>
    <s v="BLUE"/>
    <s v="red"/>
    <n v="1"/>
    <n v="1.0752635999815501"/>
    <x v="1"/>
  </r>
  <r>
    <x v="1"/>
    <s v="RED"/>
    <s v="blue"/>
    <n v="1"/>
    <n v="1.37804430001415"/>
    <x v="1"/>
  </r>
  <r>
    <x v="1"/>
    <s v="RED"/>
    <s v="red"/>
    <n v="1"/>
    <n v="1.03678089997265"/>
    <x v="0"/>
  </r>
  <r>
    <x v="1"/>
    <s v="BLUE"/>
    <s v="blue"/>
    <n v="1"/>
    <n v="1.1489106999943"/>
    <x v="0"/>
  </r>
  <r>
    <x v="1"/>
    <s v="RED"/>
    <s v="red"/>
    <n v="1"/>
    <n v="1.06010930007323"/>
    <x v="0"/>
  </r>
  <r>
    <x v="1"/>
    <s v="BLUE"/>
    <s v="red"/>
    <n v="1"/>
    <n v="1.3327381000853999"/>
    <x v="1"/>
  </r>
  <r>
    <x v="1"/>
    <s v="RED"/>
    <s v="blue"/>
    <n v="1"/>
    <n v="0.97074809996411204"/>
    <x v="1"/>
  </r>
  <r>
    <x v="1"/>
    <s v="BLUE"/>
    <s v="blue"/>
    <n v="1"/>
    <n v="1.02460679993964"/>
    <x v="0"/>
  </r>
  <r>
    <x v="1"/>
    <s v="RED"/>
    <s v="blue"/>
    <n v="1"/>
    <n v="1.7439316000090901"/>
    <x v="1"/>
  </r>
  <r>
    <x v="1"/>
    <s v="BLUE"/>
    <s v="blue"/>
    <n v="1"/>
    <n v="0.77019650000147499"/>
    <x v="0"/>
  </r>
  <r>
    <x v="1"/>
    <s v="RED"/>
    <s v="red"/>
    <n v="1"/>
    <n v="1.09157010004855"/>
    <x v="0"/>
  </r>
  <r>
    <x v="1"/>
    <s v="BLUE"/>
    <s v="red"/>
    <n v="1"/>
    <n v="1.15907799999695"/>
    <x v="1"/>
  </r>
  <r>
    <x v="1"/>
    <s v="RED"/>
    <s v="blue"/>
    <n v="1"/>
    <n v="1.7819677999941601"/>
    <x v="1"/>
  </r>
  <r>
    <x v="1"/>
    <s v="BLUE"/>
    <s v="blue"/>
    <n v="1"/>
    <n v="0.47025250003207397"/>
    <x v="0"/>
  </r>
  <r>
    <x v="1"/>
    <s v="RED"/>
    <s v="red"/>
    <n v="1"/>
    <n v="0.95907600002828897"/>
    <x v="0"/>
  </r>
  <r>
    <x v="1"/>
    <s v="BLUE"/>
    <s v="red"/>
    <n v="1"/>
    <n v="1.5641147000715101"/>
    <x v="1"/>
  </r>
  <r>
    <x v="1"/>
    <s v="BLUE"/>
    <s v="blue"/>
    <n v="1"/>
    <n v="1.12403970002196"/>
    <x v="0"/>
  </r>
  <r>
    <x v="1"/>
    <s v="BLUE"/>
    <s v="red"/>
    <n v="1"/>
    <n v="2.0105375999119102"/>
    <x v="1"/>
  </r>
  <r>
    <x v="1"/>
    <s v="RED"/>
    <s v="red"/>
    <n v="1"/>
    <n v="1.57354249991476"/>
    <x v="0"/>
  </r>
  <r>
    <x v="1"/>
    <s v="RED"/>
    <s v="blue"/>
    <n v="1"/>
    <n v="1.7834547000238601"/>
    <x v="1"/>
  </r>
  <r>
    <x v="1"/>
    <s v="BLUE"/>
    <s v="red"/>
    <n v="1"/>
    <n v="1.1139390000607801"/>
    <x v="1"/>
  </r>
  <r>
    <x v="1"/>
    <s v="BLUE"/>
    <s v="blue"/>
    <n v="1"/>
    <n v="1.0308208999922499"/>
    <x v="0"/>
  </r>
  <r>
    <x v="1"/>
    <s v="RED"/>
    <s v="blue"/>
    <n v="1"/>
    <n v="1.9136441000737201"/>
    <x v="1"/>
  </r>
  <r>
    <x v="1"/>
    <s v="RED"/>
    <s v="red"/>
    <n v="1"/>
    <n v="1.04797329998109"/>
    <x v="0"/>
  </r>
  <r>
    <x v="1"/>
    <s v="RED"/>
    <s v="red"/>
    <n v="1"/>
    <n v="0.72326539992354799"/>
    <x v="0"/>
  </r>
  <r>
    <x v="1"/>
    <s v="RED"/>
    <s v="blue"/>
    <n v="1"/>
    <n v="1.7304579999763501"/>
    <x v="1"/>
  </r>
  <r>
    <x v="1"/>
    <s v="BLUE"/>
    <s v="red"/>
    <n v="1"/>
    <n v="2.1841535000130499"/>
    <x v="1"/>
  </r>
  <r>
    <x v="1"/>
    <s v="BLUE"/>
    <s v="blue"/>
    <n v="1"/>
    <n v="0.89686919993255199"/>
    <x v="0"/>
  </r>
  <r>
    <x v="1"/>
    <s v="BLUE"/>
    <s v="blue"/>
    <n v="1"/>
    <n v="0.56236400001216602"/>
    <x v="0"/>
  </r>
  <r>
    <x v="1"/>
    <s v="BLUE"/>
    <s v="red"/>
    <n v="1"/>
    <n v="1.658070400008"/>
    <x v="1"/>
  </r>
  <r>
    <x v="1"/>
    <s v="RED"/>
    <s v="red"/>
    <n v="1"/>
    <n v="0.79738220002036497"/>
    <x v="0"/>
  </r>
  <r>
    <x v="1"/>
    <s v="RED"/>
    <s v="blue"/>
    <n v="1"/>
    <n v="1.5068094000453101"/>
    <x v="1"/>
  </r>
  <r>
    <x v="1"/>
    <s v="RED"/>
    <s v="blue"/>
    <n v="1"/>
    <n v="1.39276339998468"/>
    <x v="1"/>
  </r>
  <r>
    <x v="1"/>
    <s v="RED"/>
    <s v="red"/>
    <n v="1"/>
    <n v="0.50781159999314696"/>
    <x v="0"/>
  </r>
  <r>
    <x v="1"/>
    <s v="BLUE"/>
    <s v="blue"/>
    <n v="1"/>
    <n v="1.1314148999517699"/>
    <x v="0"/>
  </r>
  <r>
    <x v="1"/>
    <s v="BLUE"/>
    <s v="red"/>
    <n v="0"/>
    <n v="1.81374800007324"/>
    <x v="1"/>
  </r>
  <r>
    <x v="2"/>
    <s v="RED"/>
    <s v="red"/>
    <n v="1"/>
    <n v="1.5301824000198301"/>
    <x v="0"/>
  </r>
  <r>
    <x v="2"/>
    <s v="BLUE"/>
    <s v="blue"/>
    <n v="1"/>
    <n v="1.5957081000087701"/>
    <x v="0"/>
  </r>
  <r>
    <x v="2"/>
    <s v="BLUE"/>
    <s v="red"/>
    <n v="1"/>
    <n v="2.0140688000246798"/>
    <x v="1"/>
  </r>
  <r>
    <x v="2"/>
    <s v="RED"/>
    <s v="blue"/>
    <n v="1"/>
    <n v="1.73409089993219"/>
    <x v="1"/>
  </r>
  <r>
    <x v="2"/>
    <s v="RED"/>
    <s v="blue"/>
    <n v="1"/>
    <n v="1.72540160000789"/>
    <x v="1"/>
  </r>
  <r>
    <x v="2"/>
    <s v="BLUE"/>
    <s v="red"/>
    <n v="1"/>
    <n v="1.5383484999183501"/>
    <x v="1"/>
  </r>
  <r>
    <x v="2"/>
    <s v="RED"/>
    <s v="red"/>
    <n v="1"/>
    <n v="0.48423239996191098"/>
    <x v="0"/>
  </r>
  <r>
    <x v="2"/>
    <s v="BLUE"/>
    <s v="blue"/>
    <n v="1"/>
    <n v="0.632179399952292"/>
    <x v="0"/>
  </r>
  <r>
    <x v="2"/>
    <s v="RED"/>
    <s v="red"/>
    <n v="1"/>
    <n v="0.76518720004241902"/>
    <x v="0"/>
  </r>
  <r>
    <x v="2"/>
    <s v="BLUE"/>
    <s v="red"/>
    <n v="1"/>
    <n v="1.5248747000005001"/>
    <x v="1"/>
  </r>
  <r>
    <x v="2"/>
    <s v="BLUE"/>
    <s v="blue"/>
    <n v="1"/>
    <n v="0.87821240001358003"/>
    <x v="0"/>
  </r>
  <r>
    <x v="2"/>
    <s v="RED"/>
    <s v="blue"/>
    <n v="1"/>
    <n v="2.2574043999193201"/>
    <x v="1"/>
  </r>
  <r>
    <x v="2"/>
    <s v="RED"/>
    <s v="red"/>
    <n v="1"/>
    <n v="0.92430640000384301"/>
    <x v="0"/>
  </r>
  <r>
    <x v="2"/>
    <s v="BLUE"/>
    <s v="blue"/>
    <n v="1"/>
    <n v="0.88470719999168002"/>
    <x v="0"/>
  </r>
  <r>
    <x v="2"/>
    <s v="BLUE"/>
    <s v="red"/>
    <n v="0"/>
    <n v="1.8611462999833699"/>
    <x v="1"/>
  </r>
  <r>
    <x v="2"/>
    <s v="RED"/>
    <s v="blue"/>
    <n v="1"/>
    <n v="1.88962949998676"/>
    <x v="1"/>
  </r>
  <r>
    <x v="2"/>
    <s v="RED"/>
    <s v="blue"/>
    <n v="1"/>
    <n v="1.56872530002146"/>
    <x v="1"/>
  </r>
  <r>
    <x v="2"/>
    <s v="BLUE"/>
    <s v="blue"/>
    <n v="1"/>
    <n v="0.71070089994464003"/>
    <x v="0"/>
  </r>
  <r>
    <x v="2"/>
    <s v="BLUE"/>
    <s v="red"/>
    <n v="1"/>
    <n v="1.88944230007473"/>
    <x v="1"/>
  </r>
  <r>
    <x v="2"/>
    <s v="RED"/>
    <s v="red"/>
    <n v="1"/>
    <n v="1.7312497999519101"/>
    <x v="0"/>
  </r>
  <r>
    <x v="2"/>
    <s v="BLUE"/>
    <s v="red"/>
    <n v="1"/>
    <n v="2.11619299999438"/>
    <x v="1"/>
  </r>
  <r>
    <x v="2"/>
    <s v="RED"/>
    <s v="blue"/>
    <n v="1"/>
    <n v="1.2887280000140799"/>
    <x v="1"/>
  </r>
  <r>
    <x v="2"/>
    <s v="BLUE"/>
    <s v="blue"/>
    <n v="1"/>
    <n v="0.499142199987545"/>
    <x v="0"/>
  </r>
  <r>
    <x v="2"/>
    <s v="RED"/>
    <s v="red"/>
    <n v="1"/>
    <n v="0.56383479991927699"/>
    <x v="0"/>
  </r>
  <r>
    <x v="2"/>
    <s v="RED"/>
    <s v="blue"/>
    <n v="1"/>
    <n v="1.43131260003428"/>
    <x v="1"/>
  </r>
  <r>
    <x v="2"/>
    <s v="BLUE"/>
    <s v="blue"/>
    <n v="1"/>
    <n v="1.1161373000359101"/>
    <x v="0"/>
  </r>
  <r>
    <x v="2"/>
    <s v="BLUE"/>
    <s v="red"/>
    <n v="1"/>
    <n v="1.77811780001502"/>
    <x v="1"/>
  </r>
  <r>
    <x v="2"/>
    <s v="RED"/>
    <s v="red"/>
    <n v="1"/>
    <n v="0.86115150002297003"/>
    <x v="0"/>
  </r>
  <r>
    <x v="2"/>
    <s v="RED"/>
    <s v="red"/>
    <n v="1"/>
    <n v="0.60921650007367101"/>
    <x v="0"/>
  </r>
  <r>
    <x v="2"/>
    <s v="BLUE"/>
    <s v="blue"/>
    <n v="1"/>
    <n v="0.84305729996412904"/>
    <x v="0"/>
  </r>
  <r>
    <x v="2"/>
    <s v="RED"/>
    <s v="blue"/>
    <n v="1"/>
    <n v="0.96982809994369701"/>
    <x v="1"/>
  </r>
  <r>
    <x v="2"/>
    <s v="BLUE"/>
    <s v="red"/>
    <n v="1"/>
    <n v="2.4886011000489798"/>
    <x v="1"/>
  </r>
  <r>
    <x v="2"/>
    <s v="RED"/>
    <s v="blue"/>
    <n v="1"/>
    <n v="1.01641780009958"/>
    <x v="1"/>
  </r>
  <r>
    <x v="2"/>
    <s v="BLUE"/>
    <s v="blue"/>
    <n v="1"/>
    <n v="1.24047620000783"/>
    <x v="0"/>
  </r>
  <r>
    <x v="2"/>
    <s v="BLUE"/>
    <s v="red"/>
    <n v="1"/>
    <n v="2.2348904999671499"/>
    <x v="1"/>
  </r>
  <r>
    <x v="2"/>
    <s v="RED"/>
    <s v="red"/>
    <n v="1"/>
    <n v="0.82160060002934099"/>
    <x v="0"/>
  </r>
  <r>
    <x v="2"/>
    <s v="RED"/>
    <s v="red"/>
    <n v="1"/>
    <n v="0.70146440004464194"/>
    <x v="0"/>
  </r>
  <r>
    <x v="2"/>
    <s v="BLUE"/>
    <s v="red"/>
    <n v="1"/>
    <n v="3.0776500999927499"/>
    <x v="1"/>
  </r>
  <r>
    <x v="2"/>
    <s v="BLUE"/>
    <s v="blue"/>
    <n v="1"/>
    <n v="1.11769270000513"/>
    <x v="0"/>
  </r>
  <r>
    <x v="2"/>
    <s v="RED"/>
    <s v="blue"/>
    <n v="1"/>
    <n v="3.0761761999456199"/>
    <x v="1"/>
  </r>
  <r>
    <x v="3"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E6692-C1AC-4E41-81FE-49CA71BFF0A0}" name="PivotTable1" cacheId="269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G7" firstHeaderRow="1" firstDataRow="3" firstDataCol="1"/>
  <pivotFields count="6"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axis="axisRow" compact="0" outline="0" showAll="0">
      <items count="4">
        <item x="0"/>
        <item x="1"/>
        <item h="1" x="2"/>
        <item t="default"/>
      </items>
    </pivotField>
  </pivotFields>
  <rowFields count="1">
    <field x="5"/>
  </rowFields>
  <rowItems count="2">
    <i>
      <x/>
    </i>
    <i>
      <x v="1"/>
    </i>
  </rowItems>
  <colFields count="2">
    <field x="0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Average of key_resp.rt" fld="4" subtotal="average" baseField="0" baseItem="0"/>
    <dataField name="Average of key_resp.corr" fld="3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296F-E05D-40EF-B822-A8082361ED70}">
  <dimension ref="A3:G9"/>
  <sheetViews>
    <sheetView workbookViewId="0">
      <selection activeCell="F6" sqref="F6:F7"/>
    </sheetView>
  </sheetViews>
  <sheetFormatPr defaultRowHeight="15"/>
  <cols>
    <col min="1" max="1" width="12.7109375" bestFit="1" customWidth="1"/>
    <col min="2" max="2" width="20.28515625" bestFit="1" customWidth="1"/>
    <col min="3" max="3" width="22.5703125" bestFit="1" customWidth="1"/>
    <col min="4" max="4" width="20.28515625" bestFit="1" customWidth="1"/>
    <col min="5" max="5" width="22.5703125" bestFit="1" customWidth="1"/>
    <col min="6" max="6" width="20.28515625" bestFit="1" customWidth="1"/>
    <col min="7" max="7" width="22.5703125" bestFit="1" customWidth="1"/>
    <col min="8" max="8" width="25.140625" bestFit="1" customWidth="1"/>
    <col min="9" max="9" width="27.28515625" bestFit="1" customWidth="1"/>
    <col min="10" max="10" width="25.140625" bestFit="1" customWidth="1"/>
    <col min="11" max="11" width="27.28515625" bestFit="1" customWidth="1"/>
  </cols>
  <sheetData>
    <row r="3" spans="1:7">
      <c r="B3" s="2" t="s">
        <v>0</v>
      </c>
      <c r="C3" s="2" t="s">
        <v>1</v>
      </c>
    </row>
    <row r="4" spans="1:7">
      <c r="B4" t="s">
        <v>2</v>
      </c>
      <c r="D4" t="s">
        <v>3</v>
      </c>
      <c r="F4" t="s">
        <v>4</v>
      </c>
    </row>
    <row r="5" spans="1:7">
      <c r="A5" s="2" t="s">
        <v>5</v>
      </c>
      <c r="B5" t="s">
        <v>6</v>
      </c>
      <c r="C5" t="s">
        <v>7</v>
      </c>
      <c r="D5" t="s">
        <v>6</v>
      </c>
      <c r="E5" t="s">
        <v>7</v>
      </c>
      <c r="F5" t="s">
        <v>6</v>
      </c>
      <c r="G5" t="s">
        <v>7</v>
      </c>
    </row>
    <row r="6" spans="1:7">
      <c r="A6" t="s">
        <v>8</v>
      </c>
      <c r="B6" s="3">
        <v>0.63075738500337997</v>
      </c>
      <c r="C6" s="3">
        <v>1</v>
      </c>
      <c r="D6" s="3">
        <v>0.98888582999352048</v>
      </c>
      <c r="E6" s="3">
        <v>1</v>
      </c>
      <c r="F6" s="3">
        <v>0.92552198499906613</v>
      </c>
      <c r="G6" s="3">
        <v>1</v>
      </c>
    </row>
    <row r="7" spans="1:7">
      <c r="A7" t="s">
        <v>9</v>
      </c>
      <c r="B7" s="3">
        <v>0.63869849501643261</v>
      </c>
      <c r="C7" s="3">
        <v>1</v>
      </c>
      <c r="D7" s="3">
        <v>1.5989119250094475</v>
      </c>
      <c r="E7" s="3">
        <v>0.95</v>
      </c>
      <c r="F7" s="3">
        <v>1.8740523749962397</v>
      </c>
      <c r="G7" s="3">
        <v>0.95</v>
      </c>
    </row>
    <row r="8" spans="1:7">
      <c r="A8" t="s">
        <v>10</v>
      </c>
      <c r="B8">
        <f>B7-B6</f>
        <v>7.9411100130526435E-3</v>
      </c>
      <c r="D8">
        <f>D7-D6</f>
        <v>0.61002609501592697</v>
      </c>
      <c r="F8">
        <f>F7-F6</f>
        <v>0.94853038999717354</v>
      </c>
    </row>
    <row r="9" spans="1:7">
      <c r="A9" t="s">
        <v>11</v>
      </c>
      <c r="B9">
        <f>STDEV(B8:F8)</f>
        <v>0.47641013152319861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workbookViewId="0">
      <selection activeCell="H22" sqref="H22"/>
    </sheetView>
  </sheetViews>
  <sheetFormatPr defaultRowHeight="15"/>
  <cols>
    <col min="1" max="1" width="10.140625" bestFit="1" customWidth="1"/>
    <col min="4" max="4" width="12.42578125" bestFit="1" customWidth="1"/>
    <col min="5" max="5" width="10.28515625" bestFit="1" customWidth="1"/>
    <col min="6" max="6" width="12.7109375" customWidth="1"/>
  </cols>
  <sheetData>
    <row r="1" spans="1: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5</v>
      </c>
      <c r="G1" s="1"/>
      <c r="H1" s="1"/>
      <c r="I1" s="1"/>
    </row>
    <row r="2" spans="1:9">
      <c r="A2" t="s">
        <v>2</v>
      </c>
      <c r="B2" t="s">
        <v>16</v>
      </c>
      <c r="C2" t="s">
        <v>17</v>
      </c>
      <c r="D2">
        <v>1</v>
      </c>
      <c r="E2">
        <v>1.76416930009145</v>
      </c>
      <c r="F2" t="str">
        <f>IF(B2=C2,"Congruent","Incongruent")</f>
        <v>Congruent</v>
      </c>
    </row>
    <row r="3" spans="1:9">
      <c r="A3" t="s">
        <v>2</v>
      </c>
      <c r="B3" t="s">
        <v>18</v>
      </c>
      <c r="C3" t="s">
        <v>19</v>
      </c>
      <c r="D3">
        <v>1</v>
      </c>
      <c r="E3">
        <v>1.09784609999042</v>
      </c>
      <c r="F3" t="str">
        <f>IF(B3=C3,"Congruent","Incongruent")</f>
        <v>Congruent</v>
      </c>
    </row>
    <row r="4" spans="1:9">
      <c r="A4" t="s">
        <v>2</v>
      </c>
      <c r="B4" t="s">
        <v>16</v>
      </c>
      <c r="C4" t="s">
        <v>19</v>
      </c>
      <c r="D4">
        <v>1</v>
      </c>
      <c r="E4">
        <v>1.1983743000309901</v>
      </c>
      <c r="F4" t="str">
        <f>IF(B4=C4,"Congruent","Incongruent")</f>
        <v>Incongruent</v>
      </c>
    </row>
    <row r="5" spans="1:9">
      <c r="A5" t="s">
        <v>2</v>
      </c>
      <c r="B5" t="s">
        <v>18</v>
      </c>
      <c r="C5" t="s">
        <v>17</v>
      </c>
      <c r="D5">
        <v>1</v>
      </c>
      <c r="E5">
        <v>0.66319280001334802</v>
      </c>
      <c r="F5" t="str">
        <f>IF(B5=C5,"Congruent","Incongruent")</f>
        <v>Incongruent</v>
      </c>
    </row>
    <row r="6" spans="1:9">
      <c r="A6" t="s">
        <v>2</v>
      </c>
      <c r="B6" t="s">
        <v>18</v>
      </c>
      <c r="C6" t="s">
        <v>17</v>
      </c>
      <c r="D6">
        <v>1</v>
      </c>
      <c r="E6">
        <v>1.0276255999924599</v>
      </c>
      <c r="F6" t="str">
        <f>IF(B6=C6,"Congruent","Incongruent")</f>
        <v>Incongruent</v>
      </c>
    </row>
    <row r="7" spans="1:9">
      <c r="A7" t="s">
        <v>2</v>
      </c>
      <c r="B7" t="s">
        <v>16</v>
      </c>
      <c r="C7" t="s">
        <v>19</v>
      </c>
      <c r="D7">
        <v>1</v>
      </c>
      <c r="E7">
        <v>0.59724760008975797</v>
      </c>
      <c r="F7" t="str">
        <f>IF(B7=C7,"Congruent","Incongruent")</f>
        <v>Incongruent</v>
      </c>
    </row>
    <row r="8" spans="1:9">
      <c r="A8" t="s">
        <v>2</v>
      </c>
      <c r="B8" t="s">
        <v>16</v>
      </c>
      <c r="C8" t="s">
        <v>17</v>
      </c>
      <c r="D8">
        <v>1</v>
      </c>
      <c r="E8">
        <v>0.51417940005194396</v>
      </c>
      <c r="F8" t="str">
        <f>IF(B8=C8,"Congruent","Incongruent")</f>
        <v>Congruent</v>
      </c>
    </row>
    <row r="9" spans="1:9">
      <c r="A9" t="s">
        <v>2</v>
      </c>
      <c r="B9" t="s">
        <v>18</v>
      </c>
      <c r="C9" t="s">
        <v>19</v>
      </c>
      <c r="D9">
        <v>1</v>
      </c>
      <c r="E9">
        <v>0.447730400017462</v>
      </c>
      <c r="F9" t="str">
        <f>IF(B9=C9,"Congruent","Incongruent")</f>
        <v>Congruent</v>
      </c>
    </row>
    <row r="10" spans="1:9">
      <c r="A10" t="s">
        <v>2</v>
      </c>
      <c r="B10" t="s">
        <v>18</v>
      </c>
      <c r="C10" t="s">
        <v>17</v>
      </c>
      <c r="D10">
        <v>1</v>
      </c>
      <c r="E10">
        <v>0.98105229996144705</v>
      </c>
      <c r="F10" t="str">
        <f>IF(B10=C10,"Congruent","Incongruent")</f>
        <v>Incongruent</v>
      </c>
    </row>
    <row r="11" spans="1:9">
      <c r="A11" t="s">
        <v>2</v>
      </c>
      <c r="B11" t="s">
        <v>16</v>
      </c>
      <c r="C11" t="s">
        <v>17</v>
      </c>
      <c r="D11">
        <v>1</v>
      </c>
      <c r="E11">
        <v>0.98562109994236302</v>
      </c>
      <c r="F11" t="str">
        <f>IF(B11=C11,"Congruent","Incongruent")</f>
        <v>Congruent</v>
      </c>
    </row>
    <row r="12" spans="1:9">
      <c r="A12" t="s">
        <v>2</v>
      </c>
      <c r="B12" t="s">
        <v>16</v>
      </c>
      <c r="C12" t="s">
        <v>19</v>
      </c>
      <c r="D12">
        <v>1</v>
      </c>
      <c r="E12">
        <v>0.54879470006562703</v>
      </c>
      <c r="F12" t="str">
        <f>IF(B12=C12,"Congruent","Incongruent")</f>
        <v>Incongruent</v>
      </c>
    </row>
    <row r="13" spans="1:9">
      <c r="A13" t="s">
        <v>2</v>
      </c>
      <c r="B13" t="s">
        <v>18</v>
      </c>
      <c r="C13" t="s">
        <v>19</v>
      </c>
      <c r="D13">
        <v>1</v>
      </c>
      <c r="E13">
        <v>0.54005499999038797</v>
      </c>
      <c r="F13" t="str">
        <f>IF(B13=C13,"Congruent","Incongruent")</f>
        <v>Congruent</v>
      </c>
    </row>
    <row r="14" spans="1:9">
      <c r="A14" t="s">
        <v>2</v>
      </c>
      <c r="B14" t="s">
        <v>18</v>
      </c>
      <c r="C14" t="s">
        <v>17</v>
      </c>
      <c r="D14">
        <v>1</v>
      </c>
      <c r="E14">
        <v>0.523748199921101</v>
      </c>
      <c r="F14" t="str">
        <f>IF(B14=C14,"Congruent","Incongruent")</f>
        <v>Incongruent</v>
      </c>
    </row>
    <row r="15" spans="1:9">
      <c r="A15" t="s">
        <v>2</v>
      </c>
      <c r="B15" t="s">
        <v>16</v>
      </c>
      <c r="C15" t="s">
        <v>19</v>
      </c>
      <c r="D15">
        <v>1</v>
      </c>
      <c r="E15">
        <v>0.64030410000122995</v>
      </c>
      <c r="F15" t="str">
        <f>IF(B15=C15,"Congruent","Incongruent")</f>
        <v>Incongruent</v>
      </c>
    </row>
    <row r="16" spans="1:9">
      <c r="A16" t="s">
        <v>2</v>
      </c>
      <c r="B16" t="s">
        <v>16</v>
      </c>
      <c r="C16" t="s">
        <v>17</v>
      </c>
      <c r="D16">
        <v>1</v>
      </c>
      <c r="E16">
        <v>0.52271270006894999</v>
      </c>
      <c r="F16" t="str">
        <f>IF(B16=C16,"Congruent","Incongruent")</f>
        <v>Congruent</v>
      </c>
    </row>
    <row r="17" spans="1:6">
      <c r="A17" t="s">
        <v>2</v>
      </c>
      <c r="B17" t="s">
        <v>18</v>
      </c>
      <c r="C17" t="s">
        <v>19</v>
      </c>
      <c r="D17">
        <v>1</v>
      </c>
      <c r="E17">
        <v>0.52052279992494699</v>
      </c>
      <c r="F17" t="str">
        <f>IF(B17=C17,"Congruent","Incongruent")</f>
        <v>Congruent</v>
      </c>
    </row>
    <row r="18" spans="1:6">
      <c r="A18" t="s">
        <v>2</v>
      </c>
      <c r="B18" t="s">
        <v>18</v>
      </c>
      <c r="C18" t="s">
        <v>17</v>
      </c>
      <c r="D18">
        <v>1</v>
      </c>
      <c r="E18">
        <v>0.57968739990610596</v>
      </c>
      <c r="F18" t="str">
        <f>IF(B18=C18,"Congruent","Incongruent")</f>
        <v>Incongruent</v>
      </c>
    </row>
    <row r="19" spans="1:6">
      <c r="A19" t="s">
        <v>2</v>
      </c>
      <c r="B19" t="s">
        <v>18</v>
      </c>
      <c r="C19" t="s">
        <v>19</v>
      </c>
      <c r="D19">
        <v>1</v>
      </c>
      <c r="E19">
        <v>0.50090690003708005</v>
      </c>
      <c r="F19" t="str">
        <f>IF(B19=C19,"Congruent","Incongruent")</f>
        <v>Congruent</v>
      </c>
    </row>
    <row r="20" spans="1:6">
      <c r="A20" t="s">
        <v>2</v>
      </c>
      <c r="B20" t="s">
        <v>16</v>
      </c>
      <c r="C20" t="s">
        <v>17</v>
      </c>
      <c r="D20">
        <v>1</v>
      </c>
      <c r="E20">
        <v>0.464130400097928</v>
      </c>
      <c r="F20" t="str">
        <f>IF(B20=C20,"Congruent","Incongruent")</f>
        <v>Congruent</v>
      </c>
    </row>
    <row r="21" spans="1:6">
      <c r="A21" t="s">
        <v>2</v>
      </c>
      <c r="B21" t="s">
        <v>16</v>
      </c>
      <c r="C21" t="s">
        <v>19</v>
      </c>
      <c r="D21">
        <v>1</v>
      </c>
      <c r="E21">
        <v>0.45998290006536902</v>
      </c>
      <c r="F21" t="str">
        <f>IF(B21=C21,"Congruent","Incongruent")</f>
        <v>Incongruent</v>
      </c>
    </row>
    <row r="22" spans="1:6">
      <c r="A22" t="s">
        <v>2</v>
      </c>
      <c r="B22" t="s">
        <v>16</v>
      </c>
      <c r="C22" t="s">
        <v>19</v>
      </c>
      <c r="D22">
        <v>1</v>
      </c>
      <c r="E22">
        <v>0.52533720002975304</v>
      </c>
      <c r="F22" t="str">
        <f>IF(B22=C22,"Congruent","Incongruent")</f>
        <v>Incongruent</v>
      </c>
    </row>
    <row r="23" spans="1:6">
      <c r="A23" t="s">
        <v>2</v>
      </c>
      <c r="B23" t="s">
        <v>18</v>
      </c>
      <c r="C23" t="s">
        <v>17</v>
      </c>
      <c r="D23">
        <v>1</v>
      </c>
      <c r="E23">
        <v>0.55217530007939697</v>
      </c>
      <c r="F23" t="str">
        <f>IF(B23=C23,"Congruent","Incongruent")</f>
        <v>Incongruent</v>
      </c>
    </row>
    <row r="24" spans="1:6">
      <c r="A24" t="s">
        <v>2</v>
      </c>
      <c r="B24" t="s">
        <v>18</v>
      </c>
      <c r="C24" t="s">
        <v>19</v>
      </c>
      <c r="D24">
        <v>1</v>
      </c>
      <c r="E24">
        <v>0.47409019991755402</v>
      </c>
      <c r="F24" t="str">
        <f>IF(B24=C24,"Congruent","Incongruent")</f>
        <v>Congruent</v>
      </c>
    </row>
    <row r="25" spans="1:6">
      <c r="A25" t="s">
        <v>2</v>
      </c>
      <c r="B25" t="s">
        <v>16</v>
      </c>
      <c r="C25" t="s">
        <v>17</v>
      </c>
      <c r="D25">
        <v>1</v>
      </c>
      <c r="E25">
        <v>0.52707750000990905</v>
      </c>
      <c r="F25" t="str">
        <f>IF(B25=C25,"Congruent","Incongruent")</f>
        <v>Congruent</v>
      </c>
    </row>
    <row r="26" spans="1:6">
      <c r="A26" t="s">
        <v>2</v>
      </c>
      <c r="B26" t="s">
        <v>16</v>
      </c>
      <c r="C26" t="s">
        <v>17</v>
      </c>
      <c r="D26">
        <v>1</v>
      </c>
      <c r="E26">
        <v>0.51186430000234395</v>
      </c>
      <c r="F26" t="str">
        <f>IF(B26=C26,"Congruent","Incongruent")</f>
        <v>Congruent</v>
      </c>
    </row>
    <row r="27" spans="1:6">
      <c r="A27" t="s">
        <v>2</v>
      </c>
      <c r="B27" t="s">
        <v>16</v>
      </c>
      <c r="C27" t="s">
        <v>19</v>
      </c>
      <c r="D27">
        <v>1</v>
      </c>
      <c r="E27">
        <v>0.50503650004975498</v>
      </c>
      <c r="F27" t="str">
        <f>IF(B27=C27,"Congruent","Incongruent")</f>
        <v>Incongruent</v>
      </c>
    </row>
    <row r="28" spans="1:6">
      <c r="A28" t="s">
        <v>2</v>
      </c>
      <c r="B28" t="s">
        <v>18</v>
      </c>
      <c r="C28" t="s">
        <v>19</v>
      </c>
      <c r="D28">
        <v>1</v>
      </c>
      <c r="E28">
        <v>0.52042950002942201</v>
      </c>
      <c r="F28" t="str">
        <f>IF(B28=C28,"Congruent","Incongruent")</f>
        <v>Congruent</v>
      </c>
    </row>
    <row r="29" spans="1:6">
      <c r="A29" t="s">
        <v>2</v>
      </c>
      <c r="B29" t="s">
        <v>18</v>
      </c>
      <c r="C29" t="s">
        <v>17</v>
      </c>
      <c r="D29">
        <v>1</v>
      </c>
      <c r="E29">
        <v>0.57054330001119502</v>
      </c>
      <c r="F29" t="str">
        <f>IF(B29=C29,"Congruent","Incongruent")</f>
        <v>Incongruent</v>
      </c>
    </row>
    <row r="30" spans="1:6">
      <c r="A30" t="s">
        <v>2</v>
      </c>
      <c r="B30" t="s">
        <v>16</v>
      </c>
      <c r="C30" t="s">
        <v>19</v>
      </c>
      <c r="D30">
        <v>1</v>
      </c>
      <c r="E30">
        <v>1.0118225000333001</v>
      </c>
      <c r="F30" t="str">
        <f>IF(B30=C30,"Congruent","Incongruent")</f>
        <v>Incongruent</v>
      </c>
    </row>
    <row r="31" spans="1:6">
      <c r="A31" t="s">
        <v>2</v>
      </c>
      <c r="B31" t="s">
        <v>18</v>
      </c>
      <c r="C31" t="s">
        <v>19</v>
      </c>
      <c r="D31">
        <v>1</v>
      </c>
      <c r="E31">
        <v>0.64664649998303503</v>
      </c>
      <c r="F31" t="str">
        <f>IF(B31=C31,"Congruent","Incongruent")</f>
        <v>Congruent</v>
      </c>
    </row>
    <row r="32" spans="1:6">
      <c r="A32" t="s">
        <v>2</v>
      </c>
      <c r="B32" t="s">
        <v>18</v>
      </c>
      <c r="C32" t="s">
        <v>17</v>
      </c>
      <c r="D32">
        <v>1</v>
      </c>
      <c r="E32">
        <v>0.58606200001668096</v>
      </c>
      <c r="F32" t="str">
        <f>IF(B32=C32,"Congruent","Incongruent")</f>
        <v>Incongruent</v>
      </c>
    </row>
    <row r="33" spans="1:6">
      <c r="A33" t="s">
        <v>2</v>
      </c>
      <c r="B33" t="s">
        <v>16</v>
      </c>
      <c r="C33" t="s">
        <v>17</v>
      </c>
      <c r="D33">
        <v>1</v>
      </c>
      <c r="E33">
        <v>0.82086310000158802</v>
      </c>
      <c r="F33" t="str">
        <f>IF(B33=C33,"Congruent","Incongruent")</f>
        <v>Congruent</v>
      </c>
    </row>
    <row r="34" spans="1:6">
      <c r="A34" t="s">
        <v>2</v>
      </c>
      <c r="B34" t="s">
        <v>16</v>
      </c>
      <c r="C34" t="s">
        <v>19</v>
      </c>
      <c r="D34">
        <v>1</v>
      </c>
      <c r="E34">
        <v>0.46165599999949303</v>
      </c>
      <c r="F34" t="str">
        <f>IF(B34=C34,"Congruent","Incongruent")</f>
        <v>Incongruent</v>
      </c>
    </row>
    <row r="35" spans="1:6">
      <c r="A35" t="s">
        <v>2</v>
      </c>
      <c r="B35" t="s">
        <v>18</v>
      </c>
      <c r="C35" t="s">
        <v>19</v>
      </c>
      <c r="D35">
        <v>1</v>
      </c>
      <c r="E35">
        <v>0.44414309994317502</v>
      </c>
      <c r="F35" t="str">
        <f>IF(B35=C35,"Congruent","Incongruent")</f>
        <v>Congruent</v>
      </c>
    </row>
    <row r="36" spans="1:6">
      <c r="A36" t="s">
        <v>2</v>
      </c>
      <c r="B36" t="s">
        <v>18</v>
      </c>
      <c r="C36" t="s">
        <v>17</v>
      </c>
      <c r="D36">
        <v>1</v>
      </c>
      <c r="E36">
        <v>0.53249240003060505</v>
      </c>
      <c r="F36" t="str">
        <f>IF(B36=C36,"Congruent","Incongruent")</f>
        <v>Incongruent</v>
      </c>
    </row>
    <row r="37" spans="1:6">
      <c r="A37" t="s">
        <v>2</v>
      </c>
      <c r="B37" t="s">
        <v>16</v>
      </c>
      <c r="C37" t="s">
        <v>17</v>
      </c>
      <c r="D37">
        <v>1</v>
      </c>
      <c r="E37">
        <v>0.53070000000298001</v>
      </c>
      <c r="F37" t="str">
        <f>IF(B37=C37,"Congruent","Incongruent")</f>
        <v>Congruent</v>
      </c>
    </row>
    <row r="38" spans="1:6">
      <c r="A38" t="s">
        <v>2</v>
      </c>
      <c r="B38" t="s">
        <v>18</v>
      </c>
      <c r="C38" t="s">
        <v>17</v>
      </c>
      <c r="D38">
        <v>1</v>
      </c>
      <c r="E38">
        <v>0.391977200051769</v>
      </c>
      <c r="F38" t="str">
        <f>IF(B38=C38,"Congruent","Incongruent")</f>
        <v>Incongruent</v>
      </c>
    </row>
    <row r="39" spans="1:6">
      <c r="A39" t="s">
        <v>2</v>
      </c>
      <c r="B39" t="s">
        <v>16</v>
      </c>
      <c r="C39" t="s">
        <v>19</v>
      </c>
      <c r="D39">
        <v>1</v>
      </c>
      <c r="E39">
        <v>0.41685759997926602</v>
      </c>
      <c r="F39" t="str">
        <f>IF(B39=C39,"Congruent","Incongruent")</f>
        <v>Incongruent</v>
      </c>
    </row>
    <row r="40" spans="1:6">
      <c r="A40" t="s">
        <v>2</v>
      </c>
      <c r="B40" t="s">
        <v>18</v>
      </c>
      <c r="C40" t="s">
        <v>19</v>
      </c>
      <c r="D40">
        <v>1</v>
      </c>
      <c r="E40">
        <v>0.354717099922709</v>
      </c>
      <c r="F40" t="str">
        <f>IF(B40=C40,"Congruent","Incongruent")</f>
        <v>Congruent</v>
      </c>
    </row>
    <row r="41" spans="1:6">
      <c r="A41" t="s">
        <v>2</v>
      </c>
      <c r="B41" t="s">
        <v>16</v>
      </c>
      <c r="C41" t="s">
        <v>17</v>
      </c>
      <c r="D41">
        <v>1</v>
      </c>
      <c r="E41">
        <v>0.42674230004195102</v>
      </c>
      <c r="F41" t="str">
        <f>IF(B41=C41,"Congruent","Incongruent")</f>
        <v>Congruent</v>
      </c>
    </row>
    <row r="42" spans="1:6">
      <c r="A42" t="s">
        <v>3</v>
      </c>
      <c r="B42" t="s">
        <v>16</v>
      </c>
      <c r="C42" t="s">
        <v>19</v>
      </c>
      <c r="D42">
        <v>1</v>
      </c>
      <c r="E42">
        <v>1.81371679995208</v>
      </c>
      <c r="F42" t="str">
        <f>IF(B42=C42,"Congruent","Incongruent")</f>
        <v>Incongruent</v>
      </c>
    </row>
    <row r="43" spans="1:6">
      <c r="A43" t="s">
        <v>3</v>
      </c>
      <c r="B43" t="s">
        <v>18</v>
      </c>
      <c r="C43" t="s">
        <v>19</v>
      </c>
      <c r="D43">
        <v>1</v>
      </c>
      <c r="E43">
        <v>1.4988050999818301</v>
      </c>
      <c r="F43" t="str">
        <f>IF(B43=C43,"Congruent","Incongruent")</f>
        <v>Congruent</v>
      </c>
    </row>
    <row r="44" spans="1:6">
      <c r="A44" t="s">
        <v>3</v>
      </c>
      <c r="B44" t="s">
        <v>16</v>
      </c>
      <c r="C44" t="s">
        <v>17</v>
      </c>
      <c r="D44">
        <v>1</v>
      </c>
      <c r="E44">
        <v>1.32192500005476</v>
      </c>
      <c r="F44" t="str">
        <f>IF(B44=C44,"Congruent","Incongruent")</f>
        <v>Congruent</v>
      </c>
    </row>
    <row r="45" spans="1:6">
      <c r="A45" t="s">
        <v>3</v>
      </c>
      <c r="B45" t="s">
        <v>18</v>
      </c>
      <c r="C45" t="s">
        <v>17</v>
      </c>
      <c r="D45">
        <v>1</v>
      </c>
      <c r="E45">
        <v>2.05105739994905</v>
      </c>
      <c r="F45" t="str">
        <f>IF(B45=C45,"Congruent","Incongruent")</f>
        <v>Incongruent</v>
      </c>
    </row>
    <row r="46" spans="1:6">
      <c r="A46" t="s">
        <v>3</v>
      </c>
      <c r="B46" t="s">
        <v>18</v>
      </c>
      <c r="C46" t="s">
        <v>17</v>
      </c>
      <c r="D46">
        <v>1</v>
      </c>
      <c r="E46">
        <v>1.0752635999815501</v>
      </c>
      <c r="F46" t="str">
        <f>IF(B46=C46,"Congruent","Incongruent")</f>
        <v>Incongruent</v>
      </c>
    </row>
    <row r="47" spans="1:6">
      <c r="A47" t="s">
        <v>3</v>
      </c>
      <c r="B47" t="s">
        <v>16</v>
      </c>
      <c r="C47" t="s">
        <v>19</v>
      </c>
      <c r="D47">
        <v>1</v>
      </c>
      <c r="E47">
        <v>1.37804430001415</v>
      </c>
      <c r="F47" t="str">
        <f>IF(B47=C47,"Congruent","Incongruent")</f>
        <v>Incongruent</v>
      </c>
    </row>
    <row r="48" spans="1:6">
      <c r="A48" t="s">
        <v>3</v>
      </c>
      <c r="B48" t="s">
        <v>16</v>
      </c>
      <c r="C48" t="s">
        <v>17</v>
      </c>
      <c r="D48">
        <v>1</v>
      </c>
      <c r="E48">
        <v>1.03678089997265</v>
      </c>
      <c r="F48" t="str">
        <f>IF(B48=C48,"Congruent","Incongruent")</f>
        <v>Congruent</v>
      </c>
    </row>
    <row r="49" spans="1:6">
      <c r="A49" t="s">
        <v>3</v>
      </c>
      <c r="B49" t="s">
        <v>18</v>
      </c>
      <c r="C49" t="s">
        <v>19</v>
      </c>
      <c r="D49">
        <v>1</v>
      </c>
      <c r="E49">
        <v>1.1489106999943</v>
      </c>
      <c r="F49" t="str">
        <f>IF(B49=C49,"Congruent","Incongruent")</f>
        <v>Congruent</v>
      </c>
    </row>
    <row r="50" spans="1:6">
      <c r="A50" t="s">
        <v>3</v>
      </c>
      <c r="B50" t="s">
        <v>16</v>
      </c>
      <c r="C50" t="s">
        <v>17</v>
      </c>
      <c r="D50">
        <v>1</v>
      </c>
      <c r="E50">
        <v>1.06010930007323</v>
      </c>
      <c r="F50" t="str">
        <f>IF(B50=C50,"Congruent","Incongruent")</f>
        <v>Congruent</v>
      </c>
    </row>
    <row r="51" spans="1:6">
      <c r="A51" t="s">
        <v>3</v>
      </c>
      <c r="B51" t="s">
        <v>18</v>
      </c>
      <c r="C51" t="s">
        <v>17</v>
      </c>
      <c r="D51">
        <v>1</v>
      </c>
      <c r="E51">
        <v>1.3327381000853999</v>
      </c>
      <c r="F51" t="str">
        <f>IF(B51=C51,"Congruent","Incongruent")</f>
        <v>Incongruent</v>
      </c>
    </row>
    <row r="52" spans="1:6">
      <c r="A52" t="s">
        <v>3</v>
      </c>
      <c r="B52" t="s">
        <v>16</v>
      </c>
      <c r="C52" t="s">
        <v>19</v>
      </c>
      <c r="D52">
        <v>1</v>
      </c>
      <c r="E52">
        <v>0.97074809996411204</v>
      </c>
      <c r="F52" t="str">
        <f>IF(B52=C52,"Congruent","Incongruent")</f>
        <v>Incongruent</v>
      </c>
    </row>
    <row r="53" spans="1:6">
      <c r="A53" t="s">
        <v>3</v>
      </c>
      <c r="B53" t="s">
        <v>18</v>
      </c>
      <c r="C53" t="s">
        <v>19</v>
      </c>
      <c r="D53">
        <v>1</v>
      </c>
      <c r="E53">
        <v>1.02460679993964</v>
      </c>
      <c r="F53" t="str">
        <f>IF(B53=C53,"Congruent","Incongruent")</f>
        <v>Congruent</v>
      </c>
    </row>
    <row r="54" spans="1:6">
      <c r="A54" t="s">
        <v>3</v>
      </c>
      <c r="B54" t="s">
        <v>16</v>
      </c>
      <c r="C54" t="s">
        <v>19</v>
      </c>
      <c r="D54">
        <v>1</v>
      </c>
      <c r="E54">
        <v>1.7439316000090901</v>
      </c>
      <c r="F54" t="str">
        <f>IF(B54=C54,"Congruent","Incongruent")</f>
        <v>Incongruent</v>
      </c>
    </row>
    <row r="55" spans="1:6">
      <c r="A55" t="s">
        <v>3</v>
      </c>
      <c r="B55" t="s">
        <v>18</v>
      </c>
      <c r="C55" t="s">
        <v>19</v>
      </c>
      <c r="D55">
        <v>1</v>
      </c>
      <c r="E55">
        <v>0.77019650000147499</v>
      </c>
      <c r="F55" t="str">
        <f>IF(B55=C55,"Congruent","Incongruent")</f>
        <v>Congruent</v>
      </c>
    </row>
    <row r="56" spans="1:6">
      <c r="A56" t="s">
        <v>3</v>
      </c>
      <c r="B56" t="s">
        <v>16</v>
      </c>
      <c r="C56" t="s">
        <v>17</v>
      </c>
      <c r="D56">
        <v>1</v>
      </c>
      <c r="E56">
        <v>1.09157010004855</v>
      </c>
      <c r="F56" t="str">
        <f>IF(B56=C56,"Congruent","Incongruent")</f>
        <v>Congruent</v>
      </c>
    </row>
    <row r="57" spans="1:6">
      <c r="A57" t="s">
        <v>3</v>
      </c>
      <c r="B57" t="s">
        <v>18</v>
      </c>
      <c r="C57" t="s">
        <v>17</v>
      </c>
      <c r="D57">
        <v>1</v>
      </c>
      <c r="E57">
        <v>1.15907799999695</v>
      </c>
      <c r="F57" t="str">
        <f>IF(B57=C57,"Congruent","Incongruent")</f>
        <v>Incongruent</v>
      </c>
    </row>
    <row r="58" spans="1:6">
      <c r="A58" t="s">
        <v>3</v>
      </c>
      <c r="B58" t="s">
        <v>16</v>
      </c>
      <c r="C58" t="s">
        <v>19</v>
      </c>
      <c r="D58">
        <v>1</v>
      </c>
      <c r="E58">
        <v>1.7819677999941601</v>
      </c>
      <c r="F58" t="str">
        <f>IF(B58=C58,"Congruent","Incongruent")</f>
        <v>Incongruent</v>
      </c>
    </row>
    <row r="59" spans="1:6">
      <c r="A59" t="s">
        <v>3</v>
      </c>
      <c r="B59" t="s">
        <v>18</v>
      </c>
      <c r="C59" t="s">
        <v>19</v>
      </c>
      <c r="D59">
        <v>1</v>
      </c>
      <c r="E59">
        <v>0.47025250003207397</v>
      </c>
      <c r="F59" t="str">
        <f>IF(B59=C59,"Congruent","Incongruent")</f>
        <v>Congruent</v>
      </c>
    </row>
    <row r="60" spans="1:6">
      <c r="A60" t="s">
        <v>3</v>
      </c>
      <c r="B60" t="s">
        <v>16</v>
      </c>
      <c r="C60" t="s">
        <v>17</v>
      </c>
      <c r="D60">
        <v>1</v>
      </c>
      <c r="E60">
        <v>0.95907600002828897</v>
      </c>
      <c r="F60" t="str">
        <f>IF(B60=C60,"Congruent","Incongruent")</f>
        <v>Congruent</v>
      </c>
    </row>
    <row r="61" spans="1:6">
      <c r="A61" t="s">
        <v>3</v>
      </c>
      <c r="B61" t="s">
        <v>18</v>
      </c>
      <c r="C61" t="s">
        <v>17</v>
      </c>
      <c r="D61">
        <v>1</v>
      </c>
      <c r="E61">
        <v>1.5641147000715101</v>
      </c>
      <c r="F61" t="str">
        <f>IF(B61=C61,"Congruent","Incongruent")</f>
        <v>Incongruent</v>
      </c>
    </row>
    <row r="62" spans="1:6">
      <c r="A62" t="s">
        <v>3</v>
      </c>
      <c r="B62" t="s">
        <v>18</v>
      </c>
      <c r="C62" t="s">
        <v>19</v>
      </c>
      <c r="D62">
        <v>1</v>
      </c>
      <c r="E62">
        <v>1.12403970002196</v>
      </c>
      <c r="F62" t="str">
        <f>IF(B62=C62,"Congruent","Incongruent")</f>
        <v>Congruent</v>
      </c>
    </row>
    <row r="63" spans="1:6">
      <c r="A63" t="s">
        <v>3</v>
      </c>
      <c r="B63" t="s">
        <v>18</v>
      </c>
      <c r="C63" t="s">
        <v>17</v>
      </c>
      <c r="D63">
        <v>1</v>
      </c>
      <c r="E63">
        <v>2.0105375999119102</v>
      </c>
      <c r="F63" t="str">
        <f>IF(B63=C63,"Congruent","Incongruent")</f>
        <v>Incongruent</v>
      </c>
    </row>
    <row r="64" spans="1:6">
      <c r="A64" t="s">
        <v>3</v>
      </c>
      <c r="B64" t="s">
        <v>16</v>
      </c>
      <c r="C64" t="s">
        <v>17</v>
      </c>
      <c r="D64">
        <v>1</v>
      </c>
      <c r="E64">
        <v>1.57354249991476</v>
      </c>
      <c r="F64" t="str">
        <f>IF(B64=C64,"Congruent","Incongruent")</f>
        <v>Congruent</v>
      </c>
    </row>
    <row r="65" spans="1:6">
      <c r="A65" t="s">
        <v>3</v>
      </c>
      <c r="B65" t="s">
        <v>16</v>
      </c>
      <c r="C65" t="s">
        <v>19</v>
      </c>
      <c r="D65">
        <v>1</v>
      </c>
      <c r="E65">
        <v>1.7834547000238601</v>
      </c>
      <c r="F65" t="str">
        <f>IF(B65=C65,"Congruent","Incongruent")</f>
        <v>Incongruent</v>
      </c>
    </row>
    <row r="66" spans="1:6">
      <c r="A66" t="s">
        <v>3</v>
      </c>
      <c r="B66" t="s">
        <v>18</v>
      </c>
      <c r="C66" t="s">
        <v>17</v>
      </c>
      <c r="D66">
        <v>1</v>
      </c>
      <c r="E66">
        <v>1.1139390000607801</v>
      </c>
      <c r="F66" t="str">
        <f>IF(B66=C66,"Congruent","Incongruent")</f>
        <v>Incongruent</v>
      </c>
    </row>
    <row r="67" spans="1:6">
      <c r="A67" t="s">
        <v>3</v>
      </c>
      <c r="B67" t="s">
        <v>18</v>
      </c>
      <c r="C67" t="s">
        <v>19</v>
      </c>
      <c r="D67">
        <v>1</v>
      </c>
      <c r="E67">
        <v>1.0308208999922499</v>
      </c>
      <c r="F67" t="str">
        <f>IF(B67=C67,"Congruent","Incongruent")</f>
        <v>Congruent</v>
      </c>
    </row>
    <row r="68" spans="1:6">
      <c r="A68" t="s">
        <v>3</v>
      </c>
      <c r="B68" t="s">
        <v>16</v>
      </c>
      <c r="C68" t="s">
        <v>19</v>
      </c>
      <c r="D68">
        <v>1</v>
      </c>
      <c r="E68">
        <v>1.9136441000737201</v>
      </c>
      <c r="F68" t="str">
        <f>IF(B68=C68,"Congruent","Incongruent")</f>
        <v>Incongruent</v>
      </c>
    </row>
    <row r="69" spans="1:6">
      <c r="A69" t="s">
        <v>3</v>
      </c>
      <c r="B69" t="s">
        <v>16</v>
      </c>
      <c r="C69" t="s">
        <v>17</v>
      </c>
      <c r="D69">
        <v>1</v>
      </c>
      <c r="E69">
        <v>1.04797329998109</v>
      </c>
      <c r="F69" t="str">
        <f>IF(B69=C69,"Congruent","Incongruent")</f>
        <v>Congruent</v>
      </c>
    </row>
    <row r="70" spans="1:6">
      <c r="A70" t="s">
        <v>3</v>
      </c>
      <c r="B70" t="s">
        <v>16</v>
      </c>
      <c r="C70" t="s">
        <v>17</v>
      </c>
      <c r="D70">
        <v>1</v>
      </c>
      <c r="E70">
        <v>0.72326539992354799</v>
      </c>
      <c r="F70" t="str">
        <f>IF(B70=C70,"Congruent","Incongruent")</f>
        <v>Congruent</v>
      </c>
    </row>
    <row r="71" spans="1:6">
      <c r="A71" t="s">
        <v>3</v>
      </c>
      <c r="B71" t="s">
        <v>16</v>
      </c>
      <c r="C71" t="s">
        <v>19</v>
      </c>
      <c r="D71">
        <v>1</v>
      </c>
      <c r="E71">
        <v>1.7304579999763501</v>
      </c>
      <c r="F71" t="str">
        <f>IF(B71=C71,"Congruent","Incongruent")</f>
        <v>Incongruent</v>
      </c>
    </row>
    <row r="72" spans="1:6">
      <c r="A72" t="s">
        <v>3</v>
      </c>
      <c r="B72" t="s">
        <v>18</v>
      </c>
      <c r="C72" t="s">
        <v>17</v>
      </c>
      <c r="D72">
        <v>1</v>
      </c>
      <c r="E72">
        <v>2.1841535000130499</v>
      </c>
      <c r="F72" t="str">
        <f>IF(B72=C72,"Congruent","Incongruent")</f>
        <v>Incongruent</v>
      </c>
    </row>
    <row r="73" spans="1:6">
      <c r="A73" t="s">
        <v>3</v>
      </c>
      <c r="B73" t="s">
        <v>18</v>
      </c>
      <c r="C73" t="s">
        <v>19</v>
      </c>
      <c r="D73">
        <v>1</v>
      </c>
      <c r="E73">
        <v>0.89686919993255199</v>
      </c>
      <c r="F73" t="str">
        <f>IF(B73=C73,"Congruent","Incongruent")</f>
        <v>Congruent</v>
      </c>
    </row>
    <row r="74" spans="1:6">
      <c r="A74" t="s">
        <v>3</v>
      </c>
      <c r="B74" t="s">
        <v>18</v>
      </c>
      <c r="C74" t="s">
        <v>19</v>
      </c>
      <c r="D74">
        <v>1</v>
      </c>
      <c r="E74">
        <v>0.56236400001216602</v>
      </c>
      <c r="F74" t="str">
        <f>IF(B74=C74,"Congruent","Incongruent")</f>
        <v>Congruent</v>
      </c>
    </row>
    <row r="75" spans="1:6">
      <c r="A75" t="s">
        <v>3</v>
      </c>
      <c r="B75" t="s">
        <v>18</v>
      </c>
      <c r="C75" t="s">
        <v>17</v>
      </c>
      <c r="D75">
        <v>1</v>
      </c>
      <c r="E75">
        <v>1.658070400008</v>
      </c>
      <c r="F75" t="str">
        <f>IF(B75=C75,"Congruent","Incongruent")</f>
        <v>Incongruent</v>
      </c>
    </row>
    <row r="76" spans="1:6">
      <c r="A76" t="s">
        <v>3</v>
      </c>
      <c r="B76" t="s">
        <v>16</v>
      </c>
      <c r="C76" t="s">
        <v>17</v>
      </c>
      <c r="D76">
        <v>1</v>
      </c>
      <c r="E76">
        <v>0.79738220002036497</v>
      </c>
      <c r="F76" t="str">
        <f>IF(B76=C76,"Congruent","Incongruent")</f>
        <v>Congruent</v>
      </c>
    </row>
    <row r="77" spans="1:6">
      <c r="A77" t="s">
        <v>3</v>
      </c>
      <c r="B77" t="s">
        <v>16</v>
      </c>
      <c r="C77" t="s">
        <v>19</v>
      </c>
      <c r="D77">
        <v>1</v>
      </c>
      <c r="E77">
        <v>1.5068094000453101</v>
      </c>
      <c r="F77" t="str">
        <f>IF(B77=C77,"Congruent","Incongruent")</f>
        <v>Incongruent</v>
      </c>
    </row>
    <row r="78" spans="1:6">
      <c r="A78" t="s">
        <v>3</v>
      </c>
      <c r="B78" t="s">
        <v>16</v>
      </c>
      <c r="C78" t="s">
        <v>19</v>
      </c>
      <c r="D78">
        <v>1</v>
      </c>
      <c r="E78">
        <v>1.39276339998468</v>
      </c>
      <c r="F78" t="str">
        <f>IF(B78=C78,"Congruent","Incongruent")</f>
        <v>Incongruent</v>
      </c>
    </row>
    <row r="79" spans="1:6">
      <c r="A79" t="s">
        <v>3</v>
      </c>
      <c r="B79" t="s">
        <v>16</v>
      </c>
      <c r="C79" t="s">
        <v>17</v>
      </c>
      <c r="D79">
        <v>1</v>
      </c>
      <c r="E79">
        <v>0.50781159999314696</v>
      </c>
      <c r="F79" t="str">
        <f>IF(B79=C79,"Congruent","Incongruent")</f>
        <v>Congruent</v>
      </c>
    </row>
    <row r="80" spans="1:6">
      <c r="A80" t="s">
        <v>3</v>
      </c>
      <c r="B80" t="s">
        <v>18</v>
      </c>
      <c r="C80" t="s">
        <v>19</v>
      </c>
      <c r="D80">
        <v>1</v>
      </c>
      <c r="E80">
        <v>1.1314148999517699</v>
      </c>
      <c r="F80" t="str">
        <f>IF(B80=C80,"Congruent","Incongruent")</f>
        <v>Congruent</v>
      </c>
    </row>
    <row r="81" spans="1:6">
      <c r="A81" t="s">
        <v>3</v>
      </c>
      <c r="B81" t="s">
        <v>18</v>
      </c>
      <c r="C81" t="s">
        <v>17</v>
      </c>
      <c r="D81">
        <v>0</v>
      </c>
      <c r="E81">
        <v>1.81374800007324</v>
      </c>
      <c r="F81" t="str">
        <f>IF(B81=C81,"Congruent","Incongruent")</f>
        <v>Incongruent</v>
      </c>
    </row>
    <row r="82" spans="1:6">
      <c r="A82" t="s">
        <v>4</v>
      </c>
      <c r="B82" t="s">
        <v>16</v>
      </c>
      <c r="C82" t="s">
        <v>17</v>
      </c>
      <c r="D82">
        <v>1</v>
      </c>
      <c r="E82">
        <v>1.5301824000198301</v>
      </c>
      <c r="F82" t="str">
        <f t="shared" ref="F82:F121" si="0">IF(B82=C82,"Congruent","Incongruent")</f>
        <v>Congruent</v>
      </c>
    </row>
    <row r="83" spans="1:6">
      <c r="A83" t="s">
        <v>4</v>
      </c>
      <c r="B83" t="s">
        <v>18</v>
      </c>
      <c r="C83" t="s">
        <v>19</v>
      </c>
      <c r="D83">
        <v>1</v>
      </c>
      <c r="E83">
        <v>1.5957081000087701</v>
      </c>
      <c r="F83" t="str">
        <f t="shared" si="0"/>
        <v>Congruent</v>
      </c>
    </row>
    <row r="84" spans="1:6">
      <c r="A84" t="s">
        <v>4</v>
      </c>
      <c r="B84" t="s">
        <v>18</v>
      </c>
      <c r="C84" t="s">
        <v>17</v>
      </c>
      <c r="D84">
        <v>1</v>
      </c>
      <c r="E84">
        <v>2.0140688000246798</v>
      </c>
      <c r="F84" t="str">
        <f t="shared" si="0"/>
        <v>Incongruent</v>
      </c>
    </row>
    <row r="85" spans="1:6">
      <c r="A85" t="s">
        <v>4</v>
      </c>
      <c r="B85" t="s">
        <v>16</v>
      </c>
      <c r="C85" t="s">
        <v>19</v>
      </c>
      <c r="D85">
        <v>1</v>
      </c>
      <c r="E85">
        <v>1.73409089993219</v>
      </c>
      <c r="F85" t="str">
        <f t="shared" si="0"/>
        <v>Incongruent</v>
      </c>
    </row>
    <row r="86" spans="1:6">
      <c r="A86" t="s">
        <v>4</v>
      </c>
      <c r="B86" t="s">
        <v>16</v>
      </c>
      <c r="C86" t="s">
        <v>19</v>
      </c>
      <c r="D86">
        <v>1</v>
      </c>
      <c r="E86">
        <v>1.72540160000789</v>
      </c>
      <c r="F86" t="str">
        <f t="shared" si="0"/>
        <v>Incongruent</v>
      </c>
    </row>
    <row r="87" spans="1:6">
      <c r="A87" t="s">
        <v>4</v>
      </c>
      <c r="B87" t="s">
        <v>18</v>
      </c>
      <c r="C87" t="s">
        <v>17</v>
      </c>
      <c r="D87">
        <v>1</v>
      </c>
      <c r="E87">
        <v>1.5383484999183501</v>
      </c>
      <c r="F87" t="str">
        <f t="shared" si="0"/>
        <v>Incongruent</v>
      </c>
    </row>
    <row r="88" spans="1:6">
      <c r="A88" t="s">
        <v>4</v>
      </c>
      <c r="B88" t="s">
        <v>16</v>
      </c>
      <c r="C88" t="s">
        <v>17</v>
      </c>
      <c r="D88">
        <v>1</v>
      </c>
      <c r="E88">
        <v>0.48423239996191098</v>
      </c>
      <c r="F88" t="str">
        <f t="shared" si="0"/>
        <v>Congruent</v>
      </c>
    </row>
    <row r="89" spans="1:6">
      <c r="A89" t="s">
        <v>4</v>
      </c>
      <c r="B89" t="s">
        <v>18</v>
      </c>
      <c r="C89" t="s">
        <v>19</v>
      </c>
      <c r="D89">
        <v>1</v>
      </c>
      <c r="E89">
        <v>0.632179399952292</v>
      </c>
      <c r="F89" t="str">
        <f t="shared" si="0"/>
        <v>Congruent</v>
      </c>
    </row>
    <row r="90" spans="1:6">
      <c r="A90" t="s">
        <v>4</v>
      </c>
      <c r="B90" t="s">
        <v>16</v>
      </c>
      <c r="C90" t="s">
        <v>17</v>
      </c>
      <c r="D90">
        <v>1</v>
      </c>
      <c r="E90">
        <v>0.76518720004241902</v>
      </c>
      <c r="F90" t="str">
        <f t="shared" si="0"/>
        <v>Congruent</v>
      </c>
    </row>
    <row r="91" spans="1:6">
      <c r="A91" t="s">
        <v>4</v>
      </c>
      <c r="B91" t="s">
        <v>18</v>
      </c>
      <c r="C91" t="s">
        <v>17</v>
      </c>
      <c r="D91">
        <v>1</v>
      </c>
      <c r="E91">
        <v>1.5248747000005001</v>
      </c>
      <c r="F91" t="str">
        <f t="shared" si="0"/>
        <v>Incongruent</v>
      </c>
    </row>
    <row r="92" spans="1:6">
      <c r="A92" t="s">
        <v>4</v>
      </c>
      <c r="B92" t="s">
        <v>18</v>
      </c>
      <c r="C92" t="s">
        <v>19</v>
      </c>
      <c r="D92">
        <v>1</v>
      </c>
      <c r="E92">
        <v>0.87821240001358003</v>
      </c>
      <c r="F92" t="str">
        <f t="shared" si="0"/>
        <v>Congruent</v>
      </c>
    </row>
    <row r="93" spans="1:6">
      <c r="A93" t="s">
        <v>4</v>
      </c>
      <c r="B93" t="s">
        <v>16</v>
      </c>
      <c r="C93" t="s">
        <v>19</v>
      </c>
      <c r="D93">
        <v>1</v>
      </c>
      <c r="E93">
        <v>2.2574043999193201</v>
      </c>
      <c r="F93" t="str">
        <f t="shared" si="0"/>
        <v>Incongruent</v>
      </c>
    </row>
    <row r="94" spans="1:6">
      <c r="A94" t="s">
        <v>4</v>
      </c>
      <c r="B94" t="s">
        <v>16</v>
      </c>
      <c r="C94" t="s">
        <v>17</v>
      </c>
      <c r="D94">
        <v>1</v>
      </c>
      <c r="E94">
        <v>0.92430640000384301</v>
      </c>
      <c r="F94" t="str">
        <f t="shared" si="0"/>
        <v>Congruent</v>
      </c>
    </row>
    <row r="95" spans="1:6">
      <c r="A95" t="s">
        <v>4</v>
      </c>
      <c r="B95" t="s">
        <v>18</v>
      </c>
      <c r="C95" t="s">
        <v>19</v>
      </c>
      <c r="D95">
        <v>1</v>
      </c>
      <c r="E95">
        <v>0.88470719999168002</v>
      </c>
      <c r="F95" t="str">
        <f t="shared" si="0"/>
        <v>Congruent</v>
      </c>
    </row>
    <row r="96" spans="1:6">
      <c r="A96" t="s">
        <v>4</v>
      </c>
      <c r="B96" t="s">
        <v>18</v>
      </c>
      <c r="C96" t="s">
        <v>17</v>
      </c>
      <c r="D96">
        <v>0</v>
      </c>
      <c r="E96">
        <v>1.8611462999833699</v>
      </c>
      <c r="F96" t="str">
        <f t="shared" si="0"/>
        <v>Incongruent</v>
      </c>
    </row>
    <row r="97" spans="1:6">
      <c r="A97" t="s">
        <v>4</v>
      </c>
      <c r="B97" t="s">
        <v>16</v>
      </c>
      <c r="C97" t="s">
        <v>19</v>
      </c>
      <c r="D97">
        <v>1</v>
      </c>
      <c r="E97">
        <v>1.88962949998676</v>
      </c>
      <c r="F97" t="str">
        <f t="shared" si="0"/>
        <v>Incongruent</v>
      </c>
    </row>
    <row r="98" spans="1:6">
      <c r="A98" t="s">
        <v>4</v>
      </c>
      <c r="B98" t="s">
        <v>16</v>
      </c>
      <c r="C98" t="s">
        <v>19</v>
      </c>
      <c r="D98">
        <v>1</v>
      </c>
      <c r="E98">
        <v>1.56872530002146</v>
      </c>
      <c r="F98" t="str">
        <f t="shared" si="0"/>
        <v>Incongruent</v>
      </c>
    </row>
    <row r="99" spans="1:6">
      <c r="A99" t="s">
        <v>4</v>
      </c>
      <c r="B99" t="s">
        <v>18</v>
      </c>
      <c r="C99" t="s">
        <v>19</v>
      </c>
      <c r="D99">
        <v>1</v>
      </c>
      <c r="E99">
        <v>0.71070089994464003</v>
      </c>
      <c r="F99" t="str">
        <f t="shared" si="0"/>
        <v>Congruent</v>
      </c>
    </row>
    <row r="100" spans="1:6">
      <c r="A100" t="s">
        <v>4</v>
      </c>
      <c r="B100" t="s">
        <v>18</v>
      </c>
      <c r="C100" t="s">
        <v>17</v>
      </c>
      <c r="D100">
        <v>1</v>
      </c>
      <c r="E100">
        <v>1.88944230007473</v>
      </c>
      <c r="F100" t="str">
        <f t="shared" si="0"/>
        <v>Incongruent</v>
      </c>
    </row>
    <row r="101" spans="1:6">
      <c r="A101" t="s">
        <v>4</v>
      </c>
      <c r="B101" t="s">
        <v>16</v>
      </c>
      <c r="C101" t="s">
        <v>17</v>
      </c>
      <c r="D101">
        <v>1</v>
      </c>
      <c r="E101">
        <v>1.7312497999519101</v>
      </c>
      <c r="F101" t="str">
        <f t="shared" si="0"/>
        <v>Congruent</v>
      </c>
    </row>
    <row r="102" spans="1:6">
      <c r="A102" t="s">
        <v>4</v>
      </c>
      <c r="B102" t="s">
        <v>18</v>
      </c>
      <c r="C102" t="s">
        <v>17</v>
      </c>
      <c r="D102">
        <v>1</v>
      </c>
      <c r="E102">
        <v>2.11619299999438</v>
      </c>
      <c r="F102" t="str">
        <f t="shared" si="0"/>
        <v>Incongruent</v>
      </c>
    </row>
    <row r="103" spans="1:6">
      <c r="A103" t="s">
        <v>4</v>
      </c>
      <c r="B103" t="s">
        <v>16</v>
      </c>
      <c r="C103" t="s">
        <v>19</v>
      </c>
      <c r="D103">
        <v>1</v>
      </c>
      <c r="E103">
        <v>1.2887280000140799</v>
      </c>
      <c r="F103" t="str">
        <f t="shared" si="0"/>
        <v>Incongruent</v>
      </c>
    </row>
    <row r="104" spans="1:6">
      <c r="A104" t="s">
        <v>4</v>
      </c>
      <c r="B104" t="s">
        <v>18</v>
      </c>
      <c r="C104" t="s">
        <v>19</v>
      </c>
      <c r="D104">
        <v>1</v>
      </c>
      <c r="E104">
        <v>0.499142199987545</v>
      </c>
      <c r="F104" t="str">
        <f t="shared" si="0"/>
        <v>Congruent</v>
      </c>
    </row>
    <row r="105" spans="1:6">
      <c r="A105" t="s">
        <v>4</v>
      </c>
      <c r="B105" t="s">
        <v>16</v>
      </c>
      <c r="C105" t="s">
        <v>17</v>
      </c>
      <c r="D105">
        <v>1</v>
      </c>
      <c r="E105">
        <v>0.56383479991927699</v>
      </c>
      <c r="F105" t="str">
        <f t="shared" si="0"/>
        <v>Congruent</v>
      </c>
    </row>
    <row r="106" spans="1:6">
      <c r="A106" t="s">
        <v>4</v>
      </c>
      <c r="B106" t="s">
        <v>16</v>
      </c>
      <c r="C106" t="s">
        <v>19</v>
      </c>
      <c r="D106">
        <v>1</v>
      </c>
      <c r="E106">
        <v>1.43131260003428</v>
      </c>
      <c r="F106" t="str">
        <f t="shared" si="0"/>
        <v>Incongruent</v>
      </c>
    </row>
    <row r="107" spans="1:6">
      <c r="A107" t="s">
        <v>4</v>
      </c>
      <c r="B107" t="s">
        <v>18</v>
      </c>
      <c r="C107" t="s">
        <v>19</v>
      </c>
      <c r="D107">
        <v>1</v>
      </c>
      <c r="E107">
        <v>1.1161373000359101</v>
      </c>
      <c r="F107" t="str">
        <f t="shared" si="0"/>
        <v>Congruent</v>
      </c>
    </row>
    <row r="108" spans="1:6">
      <c r="A108" t="s">
        <v>4</v>
      </c>
      <c r="B108" t="s">
        <v>18</v>
      </c>
      <c r="C108" t="s">
        <v>17</v>
      </c>
      <c r="D108">
        <v>1</v>
      </c>
      <c r="E108">
        <v>1.77811780001502</v>
      </c>
      <c r="F108" t="str">
        <f t="shared" si="0"/>
        <v>Incongruent</v>
      </c>
    </row>
    <row r="109" spans="1:6">
      <c r="A109" t="s">
        <v>4</v>
      </c>
      <c r="B109" t="s">
        <v>16</v>
      </c>
      <c r="C109" t="s">
        <v>17</v>
      </c>
      <c r="D109">
        <v>1</v>
      </c>
      <c r="E109">
        <v>0.86115150002297003</v>
      </c>
      <c r="F109" t="str">
        <f t="shared" si="0"/>
        <v>Congruent</v>
      </c>
    </row>
    <row r="110" spans="1:6">
      <c r="A110" t="s">
        <v>4</v>
      </c>
      <c r="B110" t="s">
        <v>16</v>
      </c>
      <c r="C110" t="s">
        <v>17</v>
      </c>
      <c r="D110">
        <v>1</v>
      </c>
      <c r="E110">
        <v>0.60921650007367101</v>
      </c>
      <c r="F110" t="str">
        <f t="shared" si="0"/>
        <v>Congruent</v>
      </c>
    </row>
    <row r="111" spans="1:6">
      <c r="A111" t="s">
        <v>4</v>
      </c>
      <c r="B111" t="s">
        <v>18</v>
      </c>
      <c r="C111" t="s">
        <v>19</v>
      </c>
      <c r="D111">
        <v>1</v>
      </c>
      <c r="E111">
        <v>0.84305729996412904</v>
      </c>
      <c r="F111" t="str">
        <f t="shared" si="0"/>
        <v>Congruent</v>
      </c>
    </row>
    <row r="112" spans="1:6">
      <c r="A112" t="s">
        <v>4</v>
      </c>
      <c r="B112" t="s">
        <v>16</v>
      </c>
      <c r="C112" t="s">
        <v>19</v>
      </c>
      <c r="D112">
        <v>1</v>
      </c>
      <c r="E112">
        <v>0.96982809994369701</v>
      </c>
      <c r="F112" t="str">
        <f t="shared" si="0"/>
        <v>Incongruent</v>
      </c>
    </row>
    <row r="113" spans="1:6">
      <c r="A113" t="s">
        <v>4</v>
      </c>
      <c r="B113" t="s">
        <v>18</v>
      </c>
      <c r="C113" t="s">
        <v>17</v>
      </c>
      <c r="D113">
        <v>1</v>
      </c>
      <c r="E113">
        <v>2.4886011000489798</v>
      </c>
      <c r="F113" t="str">
        <f t="shared" si="0"/>
        <v>Incongruent</v>
      </c>
    </row>
    <row r="114" spans="1:6">
      <c r="A114" t="s">
        <v>4</v>
      </c>
      <c r="B114" t="s">
        <v>16</v>
      </c>
      <c r="C114" t="s">
        <v>19</v>
      </c>
      <c r="D114">
        <v>1</v>
      </c>
      <c r="E114">
        <v>1.01641780009958</v>
      </c>
      <c r="F114" t="str">
        <f t="shared" si="0"/>
        <v>Incongruent</v>
      </c>
    </row>
    <row r="115" spans="1:6">
      <c r="A115" t="s">
        <v>4</v>
      </c>
      <c r="B115" t="s">
        <v>18</v>
      </c>
      <c r="C115" t="s">
        <v>19</v>
      </c>
      <c r="D115">
        <v>1</v>
      </c>
      <c r="E115">
        <v>1.24047620000783</v>
      </c>
      <c r="F115" t="str">
        <f t="shared" si="0"/>
        <v>Congruent</v>
      </c>
    </row>
    <row r="116" spans="1:6">
      <c r="A116" t="s">
        <v>4</v>
      </c>
      <c r="B116" t="s">
        <v>18</v>
      </c>
      <c r="C116" t="s">
        <v>17</v>
      </c>
      <c r="D116">
        <v>1</v>
      </c>
      <c r="E116">
        <v>2.2348904999671499</v>
      </c>
      <c r="F116" t="str">
        <f t="shared" si="0"/>
        <v>Incongruent</v>
      </c>
    </row>
    <row r="117" spans="1:6">
      <c r="A117" t="s">
        <v>4</v>
      </c>
      <c r="B117" t="s">
        <v>16</v>
      </c>
      <c r="C117" t="s">
        <v>17</v>
      </c>
      <c r="D117">
        <v>1</v>
      </c>
      <c r="E117">
        <v>0.82160060002934099</v>
      </c>
      <c r="F117" t="str">
        <f t="shared" si="0"/>
        <v>Congruent</v>
      </c>
    </row>
    <row r="118" spans="1:6">
      <c r="A118" t="s">
        <v>4</v>
      </c>
      <c r="B118" t="s">
        <v>16</v>
      </c>
      <c r="C118" t="s">
        <v>17</v>
      </c>
      <c r="D118">
        <v>1</v>
      </c>
      <c r="E118">
        <v>0.70146440004464194</v>
      </c>
      <c r="F118" t="str">
        <f t="shared" si="0"/>
        <v>Congruent</v>
      </c>
    </row>
    <row r="119" spans="1:6">
      <c r="A119" t="s">
        <v>4</v>
      </c>
      <c r="B119" t="s">
        <v>18</v>
      </c>
      <c r="C119" t="s">
        <v>17</v>
      </c>
      <c r="D119">
        <v>1</v>
      </c>
      <c r="E119">
        <v>3.0776500999927499</v>
      </c>
      <c r="F119" t="str">
        <f t="shared" si="0"/>
        <v>Incongruent</v>
      </c>
    </row>
    <row r="120" spans="1:6">
      <c r="A120" t="s">
        <v>4</v>
      </c>
      <c r="B120" t="s">
        <v>18</v>
      </c>
      <c r="C120" t="s">
        <v>19</v>
      </c>
      <c r="D120">
        <v>1</v>
      </c>
      <c r="E120">
        <v>1.11769270000513</v>
      </c>
      <c r="F120" t="str">
        <f t="shared" si="0"/>
        <v>Congruent</v>
      </c>
    </row>
    <row r="121" spans="1:6">
      <c r="A121" t="s">
        <v>4</v>
      </c>
      <c r="B121" t="s">
        <v>16</v>
      </c>
      <c r="C121" t="s">
        <v>19</v>
      </c>
      <c r="D121">
        <v>1</v>
      </c>
      <c r="E121">
        <v>3.0761761999456199</v>
      </c>
      <c r="F121" t="str">
        <f t="shared" si="0"/>
        <v>Incongruent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10CF-A0E5-4B50-98D2-0D3FF3B0BB7F}">
  <dimension ref="A1:F12"/>
  <sheetViews>
    <sheetView tabSelected="1" workbookViewId="0">
      <selection activeCell="B1" sqref="B1:C4"/>
    </sheetView>
  </sheetViews>
  <sheetFormatPr defaultRowHeight="15"/>
  <cols>
    <col min="1" max="1" width="10.140625" bestFit="1" customWidth="1"/>
    <col min="2" max="2" width="11.140625" bestFit="1" customWidth="1"/>
    <col min="5" max="5" width="9.85546875" bestFit="1" customWidth="1"/>
    <col min="6" max="6" width="11.140625" bestFit="1" customWidth="1"/>
  </cols>
  <sheetData>
    <row r="1" spans="1:6">
      <c r="A1" s="1" t="s">
        <v>0</v>
      </c>
      <c r="B1" s="1" t="s">
        <v>8</v>
      </c>
      <c r="C1" s="1" t="s">
        <v>9</v>
      </c>
    </row>
    <row r="2" spans="1:6">
      <c r="A2" t="s">
        <v>2</v>
      </c>
      <c r="B2" s="4">
        <v>0.63075738500337997</v>
      </c>
      <c r="C2" s="4">
        <v>0.63869849501643261</v>
      </c>
    </row>
    <row r="3" spans="1:6">
      <c r="A3" t="s">
        <v>3</v>
      </c>
      <c r="B3" s="4">
        <v>0.98888582999352048</v>
      </c>
      <c r="C3" s="4">
        <v>1.5989119250094475</v>
      </c>
    </row>
    <row r="4" spans="1:6">
      <c r="A4" t="s">
        <v>4</v>
      </c>
      <c r="B4" s="4">
        <v>0.92552198499906613</v>
      </c>
      <c r="C4" s="4">
        <v>1.8740523749962397</v>
      </c>
    </row>
    <row r="12" spans="1:6">
      <c r="F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2025-08-25T13:23:13Z</dcterms:created>
  <dcterms:modified xsi:type="dcterms:W3CDTF">2025-08-25T17:51:19Z</dcterms:modified>
  <cp:category/>
  <cp:contentStatus/>
</cp:coreProperties>
</file>