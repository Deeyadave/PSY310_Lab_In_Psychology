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736A10D0-396A-4CF1-B058-8753450DC17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1" sheetId="1" r:id="rId1"/>
    <sheet name="P2" sheetId="2" r:id="rId2"/>
    <sheet name="P3" sheetId="3" r:id="rId3"/>
    <sheet name="P4" sheetId="4" r:id="rId4"/>
    <sheet name="P5" sheetId="5" r:id="rId5"/>
    <sheet name="P6" sheetId="6" r:id="rId6"/>
    <sheet name="P7" sheetId="7" r:id="rId7"/>
  </sheets>
  <definedNames>
    <definedName name="_xlnm._FilterDatabase" localSheetId="0" hidden="1">'P1'!$B$1:$B$82</definedName>
    <definedName name="_xlnm._FilterDatabase" localSheetId="1" hidden="1">'P2'!$B$1:$B$82</definedName>
    <definedName name="_xlnm._FilterDatabase" localSheetId="2" hidden="1">'P3'!$B$1:$B$82</definedName>
    <definedName name="_xlnm._FilterDatabase" localSheetId="3" hidden="1">'P4'!$B$1:$B$82</definedName>
    <definedName name="_xlnm._FilterDatabase" localSheetId="4" hidden="1">'P5'!$B$1:$B$82</definedName>
    <definedName name="_xlnm._FilterDatabase" localSheetId="5" hidden="1">'P6'!$B$1:$B$82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7" l="1"/>
  <c r="G3" i="7"/>
  <c r="H2" i="7"/>
  <c r="G2" i="7"/>
  <c r="H3" i="6"/>
  <c r="G3" i="6"/>
  <c r="H2" i="6"/>
  <c r="G2" i="6"/>
  <c r="H17" i="1"/>
  <c r="J15" i="1"/>
  <c r="I15" i="1"/>
  <c r="G15" i="1"/>
  <c r="H15" i="1"/>
  <c r="G2" i="4"/>
  <c r="H3" i="5"/>
  <c r="G3" i="5"/>
  <c r="H2" i="5"/>
  <c r="G2" i="5"/>
  <c r="H3" i="4"/>
  <c r="G3" i="4"/>
  <c r="H2" i="4"/>
  <c r="H3" i="3"/>
  <c r="G3" i="3"/>
  <c r="H2" i="3"/>
  <c r="G2" i="3"/>
  <c r="G2" i="2"/>
  <c r="H4" i="2"/>
  <c r="G4" i="2"/>
  <c r="H2" i="2"/>
  <c r="G3" i="2"/>
  <c r="H3" i="2"/>
  <c r="H3" i="1"/>
  <c r="G3" i="1"/>
  <c r="H2" i="1"/>
  <c r="G2" i="1"/>
</calcChain>
</file>

<file path=xl/sharedStrings.xml><?xml version="1.0" encoding="utf-8"?>
<sst xmlns="http://schemas.openxmlformats.org/spreadsheetml/2006/main" count="632" uniqueCount="25">
  <si>
    <t>condition</t>
  </si>
  <si>
    <t>key_resp.corr</t>
  </si>
  <si>
    <t>key_resp.rt</t>
  </si>
  <si>
    <t>Measure</t>
  </si>
  <si>
    <t>Congruent</t>
  </si>
  <si>
    <t>Incongruent</t>
  </si>
  <si>
    <t>congruent</t>
  </si>
  <si>
    <t xml:space="preserve">Mean RT </t>
  </si>
  <si>
    <t>incongruent</t>
  </si>
  <si>
    <t>Accuracy (%)</t>
  </si>
  <si>
    <t>Summarised analysis of all participants</t>
  </si>
  <si>
    <t>Participant</t>
  </si>
  <si>
    <t>MeanRT_Cong (secs)</t>
  </si>
  <si>
    <t>MeanRT_Incong (secs)</t>
  </si>
  <si>
    <t>Acc_Cong (%)</t>
  </si>
  <si>
    <t>Acc_Incong (%)</t>
  </si>
  <si>
    <t>P1</t>
  </si>
  <si>
    <t>P2</t>
  </si>
  <si>
    <t>P3</t>
  </si>
  <si>
    <t>P4</t>
  </si>
  <si>
    <t>P5</t>
  </si>
  <si>
    <t>P6</t>
  </si>
  <si>
    <t>P7</t>
  </si>
  <si>
    <t>Collective mean</t>
  </si>
  <si>
    <t>T-test (Incong vs Cong 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</si>
</sst>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rgb="FF000000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quotePrefix="1" applyAlignment="1">
      <alignment wrapText="1"/>
    </xf>
    <xf numFmtId="0" fontId="0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wrapText="1"/>
    </xf>
    <xf numFmtId="0" fontId="3" fillId="2" borderId="1" xfId="0" applyFont="1" applyFill="1" applyBorder="1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1" fillId="3" borderId="1" xfId="0" applyFont="1" applyFill="1" applyBorder="1"/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82"/>
  <sheetViews>
    <sheetView tabSelected="1" workbookViewId="0">
      <selection activeCell="G21" sqref="G21"/>
    </sheetView>
  </sheetViews>
  <sheetFormatPr defaultRowHeight="15"/>
  <cols>
    <col min="1" max="1" width="11.140625" bestFit="1" customWidth="1"/>
    <col min="2" max="2" width="12.42578125" bestFit="1" customWidth="1"/>
    <col min="3" max="3" width="10.28515625" bestFit="1" customWidth="1"/>
    <col min="6" max="6" width="27.28515625" customWidth="1"/>
    <col min="7" max="7" width="19.7109375" customWidth="1"/>
    <col min="8" max="8" width="21" customWidth="1"/>
    <col min="9" max="9" width="14.28515625" customWidth="1"/>
    <col min="10" max="10" width="14.140625" customWidth="1"/>
  </cols>
  <sheetData>
    <row r="1" spans="1:10">
      <c r="A1" s="1" t="s">
        <v>0</v>
      </c>
      <c r="B1" s="1" t="s">
        <v>1</v>
      </c>
      <c r="C1" s="1" t="s">
        <v>2</v>
      </c>
      <c r="F1" s="5" t="s">
        <v>3</v>
      </c>
      <c r="G1" s="5" t="s">
        <v>4</v>
      </c>
      <c r="H1" s="5" t="s">
        <v>5</v>
      </c>
    </row>
    <row r="2" spans="1:10">
      <c r="A2" t="s">
        <v>6</v>
      </c>
      <c r="B2">
        <v>1</v>
      </c>
      <c r="C2">
        <v>0.69928489997982901</v>
      </c>
      <c r="F2" t="s">
        <v>7</v>
      </c>
      <c r="G2" s="2">
        <f>AVERAGEIFS(C:C, A:A, "congruent", B:B, 1)</f>
        <v>0.59999836501083281</v>
      </c>
      <c r="H2" s="2">
        <f>AVERAGEIFS(C:C, A:A, "incongruent", B:B, 1)</f>
        <v>0.81422561890684653</v>
      </c>
      <c r="I2" s="1"/>
      <c r="J2" s="1"/>
    </row>
    <row r="3" spans="1:10">
      <c r="A3" t="s">
        <v>8</v>
      </c>
      <c r="B3">
        <v>1</v>
      </c>
      <c r="C3">
        <v>1.1610710999229901</v>
      </c>
      <c r="F3" s="4" t="s">
        <v>9</v>
      </c>
      <c r="G3" s="3">
        <f>AVERAGEIF(A:A, "congruent", B:B)*100</f>
        <v>100</v>
      </c>
      <c r="H3" s="3">
        <f>AVERAGEIF(A:A, "incongruent", B:B)*100</f>
        <v>92.5</v>
      </c>
    </row>
    <row r="4" spans="1:10">
      <c r="A4" t="s">
        <v>6</v>
      </c>
      <c r="B4">
        <v>1</v>
      </c>
      <c r="C4">
        <v>0.57848330005072002</v>
      </c>
    </row>
    <row r="5" spans="1:10">
      <c r="A5" t="s">
        <v>8</v>
      </c>
      <c r="B5">
        <v>1</v>
      </c>
      <c r="C5">
        <v>0.73839400010183398</v>
      </c>
    </row>
    <row r="6" spans="1:10">
      <c r="A6" t="s">
        <v>6</v>
      </c>
      <c r="B6">
        <v>1</v>
      </c>
      <c r="C6">
        <v>1.18281829997431</v>
      </c>
      <c r="F6" s="14" t="s">
        <v>10</v>
      </c>
      <c r="G6" s="14"/>
      <c r="H6" s="14"/>
      <c r="I6" s="14"/>
      <c r="J6" s="14"/>
    </row>
    <row r="7" spans="1:10" ht="29.25">
      <c r="A7" t="s">
        <v>8</v>
      </c>
      <c r="B7">
        <v>1</v>
      </c>
      <c r="C7">
        <v>1.97049520001746</v>
      </c>
      <c r="F7" s="6" t="s">
        <v>11</v>
      </c>
      <c r="G7" s="7" t="s">
        <v>12</v>
      </c>
      <c r="H7" s="13" t="s">
        <v>13</v>
      </c>
      <c r="I7" s="12" t="s">
        <v>14</v>
      </c>
      <c r="J7" s="13" t="s">
        <v>15</v>
      </c>
    </row>
    <row r="8" spans="1:10">
      <c r="A8" t="s">
        <v>8</v>
      </c>
      <c r="B8">
        <v>1</v>
      </c>
      <c r="C8">
        <v>0.89912219997495402</v>
      </c>
      <c r="F8" s="9" t="s">
        <v>16</v>
      </c>
      <c r="G8" s="9">
        <v>0.59999836501083281</v>
      </c>
      <c r="H8" s="9">
        <v>0.81422561890684653</v>
      </c>
      <c r="I8" s="9">
        <v>100</v>
      </c>
      <c r="J8" s="9">
        <v>92.5</v>
      </c>
    </row>
    <row r="9" spans="1:10">
      <c r="A9" t="s">
        <v>6</v>
      </c>
      <c r="B9">
        <v>1</v>
      </c>
      <c r="C9">
        <v>0.56324219994712599</v>
      </c>
      <c r="F9" s="9" t="s">
        <v>17</v>
      </c>
      <c r="G9" s="9">
        <v>0.63943525641344634</v>
      </c>
      <c r="H9" s="9">
        <v>0.87418572369680969</v>
      </c>
      <c r="I9" s="9">
        <v>97.5</v>
      </c>
      <c r="J9" s="9">
        <v>95</v>
      </c>
    </row>
    <row r="10" spans="1:10">
      <c r="A10" t="s">
        <v>6</v>
      </c>
      <c r="B10">
        <v>1</v>
      </c>
      <c r="C10">
        <v>0.60414240008685705</v>
      </c>
      <c r="F10" s="9" t="s">
        <v>18</v>
      </c>
      <c r="G10" s="9">
        <v>0.58236675750231348</v>
      </c>
      <c r="H10" s="9">
        <v>1.1137117153833576</v>
      </c>
      <c r="I10" s="9">
        <v>100</v>
      </c>
      <c r="J10" s="9">
        <v>97.5</v>
      </c>
    </row>
    <row r="11" spans="1:10">
      <c r="A11" t="s">
        <v>8</v>
      </c>
      <c r="B11">
        <v>1</v>
      </c>
      <c r="C11">
        <v>0.55676260008476597</v>
      </c>
      <c r="F11" s="9" t="s">
        <v>19</v>
      </c>
      <c r="G11" s="9">
        <v>0.48539162500528599</v>
      </c>
      <c r="H11" s="9">
        <v>0.73353855833475845</v>
      </c>
      <c r="I11" s="9">
        <v>100</v>
      </c>
      <c r="J11" s="9">
        <v>90</v>
      </c>
    </row>
    <row r="12" spans="1:10">
      <c r="A12" t="s">
        <v>6</v>
      </c>
      <c r="B12">
        <v>1</v>
      </c>
      <c r="C12">
        <v>0.66156040003988803</v>
      </c>
      <c r="F12" s="9" t="s">
        <v>20</v>
      </c>
      <c r="G12" s="9">
        <v>0.5731754924985577</v>
      </c>
      <c r="H12" s="9">
        <v>1.0162277897246741</v>
      </c>
      <c r="I12" s="9">
        <v>100</v>
      </c>
      <c r="J12" s="9">
        <v>97.5</v>
      </c>
    </row>
    <row r="13" spans="1:10">
      <c r="A13" t="s">
        <v>8</v>
      </c>
      <c r="B13">
        <v>1</v>
      </c>
      <c r="C13">
        <v>0.60616199998185005</v>
      </c>
      <c r="F13" s="9" t="s">
        <v>21</v>
      </c>
      <c r="G13" s="9">
        <v>0.61440213750465722</v>
      </c>
      <c r="H13" s="9">
        <v>1.147164592096628</v>
      </c>
      <c r="I13" s="9">
        <v>100</v>
      </c>
      <c r="J13" s="9">
        <v>95</v>
      </c>
    </row>
    <row r="14" spans="1:10">
      <c r="A14" t="s">
        <v>6</v>
      </c>
      <c r="B14">
        <v>1</v>
      </c>
      <c r="C14">
        <v>0.51794879999943</v>
      </c>
      <c r="F14" s="10" t="s">
        <v>22</v>
      </c>
      <c r="G14" s="10">
        <v>0.49488198502222058</v>
      </c>
      <c r="H14" s="10">
        <v>0.64584910498815495</v>
      </c>
      <c r="I14" s="10">
        <v>100</v>
      </c>
      <c r="J14" s="10">
        <v>100</v>
      </c>
    </row>
    <row r="15" spans="1:10">
      <c r="A15" t="s">
        <v>6</v>
      </c>
      <c r="B15">
        <v>1</v>
      </c>
      <c r="C15">
        <v>0.473168399999849</v>
      </c>
      <c r="F15" s="8" t="s">
        <v>23</v>
      </c>
      <c r="G15" s="11">
        <f>AVERAGE(G8:G14)</f>
        <v>0.56995023127961619</v>
      </c>
      <c r="H15" s="11">
        <f>AVERAGE(H8:H14)</f>
        <v>0.90641472901874709</v>
      </c>
      <c r="I15" s="11">
        <f>AVERAGE(I8:I14)</f>
        <v>99.642857142857139</v>
      </c>
      <c r="J15" s="11">
        <f>AVERAGE(J8:J14)</f>
        <v>95.357142857142861</v>
      </c>
    </row>
    <row r="16" spans="1:10" hidden="1">
      <c r="A16" t="s">
        <v>8</v>
      </c>
      <c r="B16">
        <v>0</v>
      </c>
      <c r="C16">
        <v>0.46984739997424102</v>
      </c>
    </row>
    <row r="17" spans="1:10">
      <c r="A17" t="s">
        <v>8</v>
      </c>
      <c r="B17">
        <v>1</v>
      </c>
      <c r="C17">
        <v>0.48044439998921001</v>
      </c>
      <c r="F17" s="14" t="s">
        <v>24</v>
      </c>
      <c r="G17" s="14"/>
      <c r="H17" s="15">
        <f>_xlfn.T.TEST(H8:H14, G8:G14, 2, 1)</f>
        <v>1.4704509155053359E-3</v>
      </c>
      <c r="I17" s="15"/>
      <c r="J17" s="15"/>
    </row>
    <row r="18" spans="1:10" hidden="1">
      <c r="A18" t="s">
        <v>8</v>
      </c>
      <c r="B18">
        <v>0</v>
      </c>
      <c r="C18">
        <v>0.47317110002040802</v>
      </c>
    </row>
    <row r="19" spans="1:10">
      <c r="A19" t="s">
        <v>6</v>
      </c>
      <c r="B19">
        <v>1</v>
      </c>
      <c r="C19">
        <v>0.63403790001757399</v>
      </c>
    </row>
    <row r="20" spans="1:10">
      <c r="A20" t="s">
        <v>8</v>
      </c>
      <c r="B20">
        <v>1</v>
      </c>
      <c r="C20">
        <v>0.61783180001657401</v>
      </c>
    </row>
    <row r="21" spans="1:10">
      <c r="A21" t="s">
        <v>6</v>
      </c>
      <c r="B21">
        <v>1</v>
      </c>
      <c r="C21">
        <v>0.41914880007971</v>
      </c>
    </row>
    <row r="22" spans="1:10">
      <c r="A22" t="s">
        <v>8</v>
      </c>
      <c r="B22">
        <v>1</v>
      </c>
      <c r="C22">
        <v>0.54980499995872301</v>
      </c>
    </row>
    <row r="23" spans="1:10">
      <c r="A23" t="s">
        <v>6</v>
      </c>
      <c r="B23">
        <v>1</v>
      </c>
      <c r="C23">
        <v>0.417934200027957</v>
      </c>
    </row>
    <row r="24" spans="1:10">
      <c r="A24" t="s">
        <v>6</v>
      </c>
      <c r="B24">
        <v>1</v>
      </c>
      <c r="C24">
        <v>0.48069949995260602</v>
      </c>
    </row>
    <row r="25" spans="1:10">
      <c r="A25" t="s">
        <v>8</v>
      </c>
      <c r="B25">
        <v>1</v>
      </c>
      <c r="C25">
        <v>0.52088379999622703</v>
      </c>
    </row>
    <row r="26" spans="1:10">
      <c r="A26" t="s">
        <v>6</v>
      </c>
      <c r="B26">
        <v>1</v>
      </c>
      <c r="C26">
        <v>0.75716099992860098</v>
      </c>
    </row>
    <row r="27" spans="1:10">
      <c r="A27" t="s">
        <v>8</v>
      </c>
      <c r="B27">
        <v>1</v>
      </c>
      <c r="C27">
        <v>0.58616589999292001</v>
      </c>
    </row>
    <row r="28" spans="1:10">
      <c r="A28" t="s">
        <v>6</v>
      </c>
      <c r="B28">
        <v>1</v>
      </c>
      <c r="C28">
        <v>0.53430189995560795</v>
      </c>
    </row>
    <row r="29" spans="1:10">
      <c r="A29" t="s">
        <v>8</v>
      </c>
      <c r="B29">
        <v>1</v>
      </c>
      <c r="C29">
        <v>0.63465969997923799</v>
      </c>
    </row>
    <row r="30" spans="1:10">
      <c r="A30" t="s">
        <v>8</v>
      </c>
      <c r="B30">
        <v>1</v>
      </c>
      <c r="C30">
        <v>0.77921800001058705</v>
      </c>
    </row>
    <row r="31" spans="1:10">
      <c r="A31" t="s">
        <v>6</v>
      </c>
      <c r="B31">
        <v>1</v>
      </c>
      <c r="C31">
        <v>0.76584380003623598</v>
      </c>
    </row>
    <row r="32" spans="1:10">
      <c r="A32" t="s">
        <v>8</v>
      </c>
      <c r="B32">
        <v>1</v>
      </c>
      <c r="C32">
        <v>1.22236839996185</v>
      </c>
    </row>
    <row r="33" spans="1:3">
      <c r="A33" t="s">
        <v>6</v>
      </c>
      <c r="B33">
        <v>1</v>
      </c>
      <c r="C33">
        <v>0.48230279993731501</v>
      </c>
    </row>
    <row r="34" spans="1:3">
      <c r="A34" t="s">
        <v>8</v>
      </c>
      <c r="B34">
        <v>1</v>
      </c>
      <c r="C34">
        <v>0.52192059997469098</v>
      </c>
    </row>
    <row r="35" spans="1:3">
      <c r="A35" t="s">
        <v>8</v>
      </c>
      <c r="B35">
        <v>1</v>
      </c>
      <c r="C35">
        <v>0.93273530004080296</v>
      </c>
    </row>
    <row r="36" spans="1:3">
      <c r="A36" t="s">
        <v>6</v>
      </c>
      <c r="B36">
        <v>1</v>
      </c>
      <c r="C36">
        <v>0.76432730001397398</v>
      </c>
    </row>
    <row r="37" spans="1:3">
      <c r="A37" t="s">
        <v>6</v>
      </c>
      <c r="B37">
        <v>1</v>
      </c>
      <c r="C37">
        <v>0.58315920003224098</v>
      </c>
    </row>
    <row r="38" spans="1:3">
      <c r="A38" t="s">
        <v>8</v>
      </c>
      <c r="B38">
        <v>1</v>
      </c>
      <c r="C38">
        <v>1.1840117999818101</v>
      </c>
    </row>
    <row r="39" spans="1:3">
      <c r="A39" t="s">
        <v>6</v>
      </c>
      <c r="B39">
        <v>1</v>
      </c>
      <c r="C39">
        <v>0.54412219999358002</v>
      </c>
    </row>
    <row r="40" spans="1:3">
      <c r="A40" t="s">
        <v>8</v>
      </c>
      <c r="B40">
        <v>1</v>
      </c>
      <c r="C40">
        <v>1.05469569994602</v>
      </c>
    </row>
    <row r="41" spans="1:3">
      <c r="A41" t="s">
        <v>6</v>
      </c>
      <c r="B41">
        <v>1</v>
      </c>
      <c r="C41">
        <v>0.72872830007690903</v>
      </c>
    </row>
    <row r="42" spans="1:3">
      <c r="A42" t="s">
        <v>8</v>
      </c>
      <c r="B42">
        <v>1</v>
      </c>
      <c r="C42">
        <v>0.77251029992476095</v>
      </c>
    </row>
    <row r="43" spans="1:3">
      <c r="A43" t="s">
        <v>8</v>
      </c>
      <c r="B43">
        <v>1</v>
      </c>
      <c r="C43">
        <v>1.06225089996587</v>
      </c>
    </row>
    <row r="44" spans="1:3">
      <c r="A44" t="s">
        <v>6</v>
      </c>
      <c r="B44">
        <v>1</v>
      </c>
      <c r="C44">
        <v>1.1366327999858099</v>
      </c>
    </row>
    <row r="45" spans="1:3">
      <c r="A45" t="s">
        <v>6</v>
      </c>
      <c r="B45">
        <v>1</v>
      </c>
      <c r="C45">
        <v>0.63402659993152999</v>
      </c>
    </row>
    <row r="46" spans="1:3">
      <c r="A46" t="s">
        <v>6</v>
      </c>
      <c r="B46">
        <v>1</v>
      </c>
      <c r="C46">
        <v>0.54888190003111903</v>
      </c>
    </row>
    <row r="47" spans="1:3">
      <c r="A47" t="s">
        <v>8</v>
      </c>
      <c r="B47">
        <v>1</v>
      </c>
      <c r="C47">
        <v>1.5372350999386899</v>
      </c>
    </row>
    <row r="48" spans="1:3">
      <c r="A48" t="s">
        <v>6</v>
      </c>
      <c r="B48">
        <v>1</v>
      </c>
      <c r="C48">
        <v>0.53475760004948802</v>
      </c>
    </row>
    <row r="49" spans="1:3">
      <c r="A49" t="s">
        <v>8</v>
      </c>
      <c r="B49">
        <v>1</v>
      </c>
      <c r="C49">
        <v>0.67176280007697597</v>
      </c>
    </row>
    <row r="50" spans="1:3">
      <c r="A50" t="s">
        <v>6</v>
      </c>
      <c r="B50">
        <v>1</v>
      </c>
      <c r="C50">
        <v>0.46604860003571902</v>
      </c>
    </row>
    <row r="51" spans="1:3">
      <c r="A51" t="s">
        <v>6</v>
      </c>
      <c r="B51">
        <v>1</v>
      </c>
      <c r="C51">
        <v>0.52916470007039595</v>
      </c>
    </row>
    <row r="52" spans="1:3">
      <c r="A52" t="s">
        <v>8</v>
      </c>
      <c r="B52">
        <v>1</v>
      </c>
      <c r="C52">
        <v>0.93723339994903598</v>
      </c>
    </row>
    <row r="53" spans="1:3">
      <c r="A53" t="s">
        <v>8</v>
      </c>
      <c r="B53">
        <v>1</v>
      </c>
      <c r="C53">
        <v>0.61749319999944396</v>
      </c>
    </row>
    <row r="54" spans="1:3">
      <c r="A54" t="s">
        <v>6</v>
      </c>
      <c r="B54">
        <v>1</v>
      </c>
      <c r="C54">
        <v>0.37258060008753002</v>
      </c>
    </row>
    <row r="55" spans="1:3">
      <c r="A55" t="s">
        <v>8</v>
      </c>
      <c r="B55">
        <v>1</v>
      </c>
      <c r="C55">
        <v>0.55275539995636702</v>
      </c>
    </row>
    <row r="56" spans="1:3">
      <c r="A56" t="s">
        <v>6</v>
      </c>
      <c r="B56">
        <v>1</v>
      </c>
      <c r="C56">
        <v>0.67994509998243302</v>
      </c>
    </row>
    <row r="57" spans="1:3">
      <c r="A57" t="s">
        <v>8</v>
      </c>
      <c r="B57">
        <v>1</v>
      </c>
      <c r="C57">
        <v>0.66967000009026301</v>
      </c>
    </row>
    <row r="58" spans="1:3">
      <c r="A58" t="s">
        <v>8</v>
      </c>
      <c r="B58">
        <v>1</v>
      </c>
      <c r="C58">
        <v>1.10946109995711</v>
      </c>
    </row>
    <row r="59" spans="1:3">
      <c r="A59" t="s">
        <v>6</v>
      </c>
      <c r="B59">
        <v>1</v>
      </c>
      <c r="C59">
        <v>0.61688180000055504</v>
      </c>
    </row>
    <row r="60" spans="1:3">
      <c r="A60" t="s">
        <v>6</v>
      </c>
      <c r="B60">
        <v>1</v>
      </c>
      <c r="C60">
        <v>0.54689470003358998</v>
      </c>
    </row>
    <row r="61" spans="1:3">
      <c r="A61" t="s">
        <v>8</v>
      </c>
      <c r="B61">
        <v>1</v>
      </c>
      <c r="C61">
        <v>0.59968469990417295</v>
      </c>
    </row>
    <row r="62" spans="1:3">
      <c r="A62" t="s">
        <v>6</v>
      </c>
      <c r="B62">
        <v>1</v>
      </c>
      <c r="C62">
        <v>0.59048250003252101</v>
      </c>
    </row>
    <row r="63" spans="1:3">
      <c r="A63" t="s">
        <v>6</v>
      </c>
      <c r="B63">
        <v>1</v>
      </c>
      <c r="C63">
        <v>0.62500849994830698</v>
      </c>
    </row>
    <row r="64" spans="1:3">
      <c r="A64" t="s">
        <v>8</v>
      </c>
      <c r="B64">
        <v>1</v>
      </c>
      <c r="C64">
        <v>0.58139059995301001</v>
      </c>
    </row>
    <row r="65" spans="1:3">
      <c r="A65" t="s">
        <v>8</v>
      </c>
      <c r="B65">
        <v>1</v>
      </c>
      <c r="C65">
        <v>0.65534519997891005</v>
      </c>
    </row>
    <row r="66" spans="1:3">
      <c r="A66" t="s">
        <v>6</v>
      </c>
      <c r="B66">
        <v>1</v>
      </c>
      <c r="C66">
        <v>0.74329030001536001</v>
      </c>
    </row>
    <row r="67" spans="1:3">
      <c r="A67" t="s">
        <v>8</v>
      </c>
      <c r="B67">
        <v>1</v>
      </c>
      <c r="C67">
        <v>0.57723309996072203</v>
      </c>
    </row>
    <row r="68" spans="1:3">
      <c r="A68" t="s">
        <v>8</v>
      </c>
      <c r="B68">
        <v>1</v>
      </c>
      <c r="C68">
        <v>0.82051920006051604</v>
      </c>
    </row>
    <row r="69" spans="1:3">
      <c r="A69" t="s">
        <v>6</v>
      </c>
      <c r="B69">
        <v>1</v>
      </c>
      <c r="C69">
        <v>0.447599299950525</v>
      </c>
    </row>
    <row r="70" spans="1:3">
      <c r="A70" t="s">
        <v>6</v>
      </c>
      <c r="B70">
        <v>1</v>
      </c>
      <c r="C70">
        <v>0.46267420006915899</v>
      </c>
    </row>
    <row r="71" spans="1:3">
      <c r="A71" t="s">
        <v>6</v>
      </c>
      <c r="B71">
        <v>1</v>
      </c>
      <c r="C71">
        <v>0.45086760004051002</v>
      </c>
    </row>
    <row r="72" spans="1:3">
      <c r="A72" t="s">
        <v>8</v>
      </c>
      <c r="B72">
        <v>1</v>
      </c>
      <c r="C72">
        <v>1.4159114999929401</v>
      </c>
    </row>
    <row r="73" spans="1:3" hidden="1">
      <c r="A73" t="s">
        <v>8</v>
      </c>
      <c r="B73">
        <v>0</v>
      </c>
      <c r="C73">
        <v>0.68382040003780198</v>
      </c>
    </row>
    <row r="74" spans="1:3">
      <c r="A74" t="s">
        <v>6</v>
      </c>
      <c r="B74">
        <v>1</v>
      </c>
      <c r="C74">
        <v>0.57434920000377998</v>
      </c>
    </row>
    <row r="75" spans="1:3">
      <c r="A75" t="s">
        <v>8</v>
      </c>
      <c r="B75">
        <v>1</v>
      </c>
      <c r="C75">
        <v>0.58670109999366105</v>
      </c>
    </row>
    <row r="76" spans="1:3">
      <c r="A76" t="s">
        <v>6</v>
      </c>
      <c r="B76">
        <v>1</v>
      </c>
      <c r="C76">
        <v>0.61563689995091397</v>
      </c>
    </row>
    <row r="77" spans="1:3">
      <c r="A77" t="s">
        <v>8</v>
      </c>
      <c r="B77">
        <v>1</v>
      </c>
      <c r="C77">
        <v>0.53007609990891003</v>
      </c>
    </row>
    <row r="78" spans="1:3">
      <c r="A78" t="s">
        <v>8</v>
      </c>
      <c r="B78">
        <v>1</v>
      </c>
      <c r="C78">
        <v>0.68448179995175396</v>
      </c>
    </row>
    <row r="79" spans="1:3">
      <c r="A79" t="s">
        <v>6</v>
      </c>
      <c r="B79">
        <v>1</v>
      </c>
      <c r="C79">
        <v>0.49527309997938501</v>
      </c>
    </row>
    <row r="80" spans="1:3">
      <c r="A80" t="s">
        <v>8</v>
      </c>
      <c r="B80">
        <v>1</v>
      </c>
      <c r="C80">
        <v>0.72788490005768802</v>
      </c>
    </row>
    <row r="81" spans="1:3">
      <c r="A81" t="s">
        <v>6</v>
      </c>
      <c r="B81">
        <v>1</v>
      </c>
      <c r="C81">
        <v>0.53652300010435205</v>
      </c>
    </row>
    <row r="82" spans="1:3" hidden="1"/>
  </sheetData>
  <autoFilter ref="B1:B82" xr:uid="{00000000-0001-0000-0000-000000000000}">
    <filterColumn colId="0">
      <filters>
        <filter val="1"/>
      </filters>
    </filterColumn>
  </autoFilter>
  <mergeCells count="3">
    <mergeCell ref="F6:J6"/>
    <mergeCell ref="F17:G17"/>
    <mergeCell ref="H17:J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0CFBE-6DE5-45B1-A159-BC8CF5849CCC}">
  <sheetPr filterMode="1"/>
  <dimension ref="A1:H82"/>
  <sheetViews>
    <sheetView workbookViewId="0">
      <selection activeCell="F4" sqref="F4"/>
    </sheetView>
  </sheetViews>
  <sheetFormatPr defaultRowHeight="15"/>
  <cols>
    <col min="1" max="1" width="11.140625" bestFit="1" customWidth="1"/>
    <col min="2" max="2" width="15.140625" bestFit="1" customWidth="1"/>
    <col min="3" max="3" width="10.7109375" bestFit="1" customWidth="1"/>
    <col min="6" max="6" width="15.7109375" customWidth="1"/>
    <col min="7" max="7" width="16.28515625" customWidth="1"/>
    <col min="8" max="8" width="34.85546875" customWidth="1"/>
  </cols>
  <sheetData>
    <row r="1" spans="1:8">
      <c r="A1" s="1" t="s">
        <v>0</v>
      </c>
      <c r="B1" s="1" t="s">
        <v>1</v>
      </c>
      <c r="C1" s="1" t="s">
        <v>2</v>
      </c>
      <c r="F1" s="5" t="s">
        <v>3</v>
      </c>
      <c r="G1" s="5" t="s">
        <v>4</v>
      </c>
      <c r="H1" s="5" t="s">
        <v>5</v>
      </c>
    </row>
    <row r="2" spans="1:8">
      <c r="A2" t="s">
        <v>8</v>
      </c>
      <c r="B2">
        <v>1</v>
      </c>
      <c r="C2">
        <v>6.3108011999865896</v>
      </c>
      <c r="F2" t="s">
        <v>7</v>
      </c>
      <c r="G2" s="2">
        <f>AVERAGEIFS(C:C, A:A, "congruent", B:B, 1)</f>
        <v>0.63943525641344634</v>
      </c>
      <c r="H2" s="2">
        <f>AVERAGEIFS(C:C, A:A, "incongruent", B:B, 1)</f>
        <v>0.87418572369680969</v>
      </c>
    </row>
    <row r="3" spans="1:8" hidden="1">
      <c r="A3" t="s">
        <v>6</v>
      </c>
      <c r="B3">
        <v>0</v>
      </c>
      <c r="C3">
        <v>1.73373079998418</v>
      </c>
      <c r="F3" s="4" t="s">
        <v>9</v>
      </c>
      <c r="G3" s="3">
        <f>AVERAGEIF(A:A, "congruent", B:B)*100</f>
        <v>97.5</v>
      </c>
      <c r="H3" s="3">
        <f>AVERAGEIF(A:A, "incongruent", B:B)*100</f>
        <v>95</v>
      </c>
    </row>
    <row r="4" spans="1:8">
      <c r="A4" t="s">
        <v>6</v>
      </c>
      <c r="B4">
        <v>1</v>
      </c>
      <c r="C4">
        <v>1.8201121999882099</v>
      </c>
      <c r="F4" s="4" t="s">
        <v>9</v>
      </c>
      <c r="G4" s="3">
        <f>AVERAGEIF(A:A, "congruent", B:B)*100</f>
        <v>97.5</v>
      </c>
      <c r="H4" s="3">
        <f>AVERAGEIF(A:A, "incongruent", B:B)*100</f>
        <v>95</v>
      </c>
    </row>
    <row r="5" spans="1:8">
      <c r="A5" t="s">
        <v>8</v>
      </c>
      <c r="B5">
        <v>1</v>
      </c>
      <c r="C5">
        <v>1.559772000066</v>
      </c>
    </row>
    <row r="6" spans="1:8">
      <c r="A6" t="s">
        <v>6</v>
      </c>
      <c r="B6">
        <v>1</v>
      </c>
      <c r="C6">
        <v>0.94827769999392297</v>
      </c>
    </row>
    <row r="7" spans="1:8" hidden="1">
      <c r="A7" t="s">
        <v>8</v>
      </c>
      <c r="B7">
        <v>0</v>
      </c>
      <c r="C7">
        <v>1.2536986999912101</v>
      </c>
    </row>
    <row r="8" spans="1:8">
      <c r="A8" t="s">
        <v>6</v>
      </c>
      <c r="B8">
        <v>1</v>
      </c>
      <c r="C8">
        <v>1.0731421000091299</v>
      </c>
    </row>
    <row r="9" spans="1:8">
      <c r="A9" t="s">
        <v>8</v>
      </c>
      <c r="B9">
        <v>1</v>
      </c>
      <c r="C9">
        <v>1.7851982000283799</v>
      </c>
    </row>
    <row r="10" spans="1:8">
      <c r="A10" t="s">
        <v>8</v>
      </c>
      <c r="B10">
        <v>1</v>
      </c>
      <c r="C10">
        <v>1.3628955000312999</v>
      </c>
    </row>
    <row r="11" spans="1:8">
      <c r="A11" t="s">
        <v>8</v>
      </c>
      <c r="B11">
        <v>1</v>
      </c>
      <c r="C11">
        <v>0.73836309998296201</v>
      </c>
    </row>
    <row r="12" spans="1:8">
      <c r="A12" t="s">
        <v>6</v>
      </c>
      <c r="B12">
        <v>1</v>
      </c>
      <c r="C12">
        <v>0.83821129996795196</v>
      </c>
    </row>
    <row r="13" spans="1:8">
      <c r="A13" t="s">
        <v>6</v>
      </c>
      <c r="B13">
        <v>1</v>
      </c>
      <c r="C13">
        <v>0.74088940001092796</v>
      </c>
    </row>
    <row r="14" spans="1:8">
      <c r="A14" t="s">
        <v>8</v>
      </c>
      <c r="B14">
        <v>1</v>
      </c>
      <c r="C14">
        <v>1.0165946000488399</v>
      </c>
    </row>
    <row r="15" spans="1:8">
      <c r="A15" t="s">
        <v>6</v>
      </c>
      <c r="B15">
        <v>1</v>
      </c>
      <c r="C15">
        <v>0.61934899992775105</v>
      </c>
    </row>
    <row r="16" spans="1:8">
      <c r="A16" t="s">
        <v>6</v>
      </c>
      <c r="B16">
        <v>1</v>
      </c>
      <c r="C16">
        <v>0.55208320007659495</v>
      </c>
    </row>
    <row r="17" spans="1:3">
      <c r="A17" t="s">
        <v>8</v>
      </c>
      <c r="B17">
        <v>1</v>
      </c>
      <c r="C17">
        <v>0.66619170003104899</v>
      </c>
    </row>
    <row r="18" spans="1:3">
      <c r="A18" t="s">
        <v>8</v>
      </c>
      <c r="B18">
        <v>1</v>
      </c>
      <c r="C18">
        <v>0.598860800033435</v>
      </c>
    </row>
    <row r="19" spans="1:3">
      <c r="A19" t="s">
        <v>6</v>
      </c>
      <c r="B19">
        <v>1</v>
      </c>
      <c r="C19">
        <v>0.57380420004483301</v>
      </c>
    </row>
    <row r="20" spans="1:3">
      <c r="A20" t="s">
        <v>6</v>
      </c>
      <c r="B20">
        <v>1</v>
      </c>
      <c r="C20">
        <v>0.59756029990967297</v>
      </c>
    </row>
    <row r="21" spans="1:3">
      <c r="A21" t="s">
        <v>8</v>
      </c>
      <c r="B21">
        <v>1</v>
      </c>
      <c r="C21">
        <v>0.58720519999042098</v>
      </c>
    </row>
    <row r="22" spans="1:3">
      <c r="A22" t="s">
        <v>6</v>
      </c>
      <c r="B22">
        <v>1</v>
      </c>
      <c r="C22">
        <v>0.61775809992104702</v>
      </c>
    </row>
    <row r="23" spans="1:3">
      <c r="A23" t="s">
        <v>8</v>
      </c>
      <c r="B23">
        <v>1</v>
      </c>
      <c r="C23">
        <v>0.53862040000967604</v>
      </c>
    </row>
    <row r="24" spans="1:3">
      <c r="A24" t="s">
        <v>6</v>
      </c>
      <c r="B24">
        <v>1</v>
      </c>
      <c r="C24">
        <v>0.50462600006721903</v>
      </c>
    </row>
    <row r="25" spans="1:3">
      <c r="A25" t="s">
        <v>8</v>
      </c>
      <c r="B25">
        <v>1</v>
      </c>
      <c r="C25">
        <v>0.501066799974069</v>
      </c>
    </row>
    <row r="26" spans="1:3">
      <c r="A26" t="s">
        <v>8</v>
      </c>
      <c r="B26">
        <v>1</v>
      </c>
      <c r="C26">
        <v>0.46218080003745798</v>
      </c>
    </row>
    <row r="27" spans="1:3">
      <c r="A27" t="s">
        <v>6</v>
      </c>
      <c r="B27">
        <v>1</v>
      </c>
      <c r="C27">
        <v>0.43576220003888</v>
      </c>
    </row>
    <row r="28" spans="1:3">
      <c r="A28" t="s">
        <v>8</v>
      </c>
      <c r="B28">
        <v>1</v>
      </c>
      <c r="C28">
        <v>0.85477239999454402</v>
      </c>
    </row>
    <row r="29" spans="1:3">
      <c r="A29" t="s">
        <v>6</v>
      </c>
      <c r="B29">
        <v>1</v>
      </c>
      <c r="C29">
        <v>0.53142809995915696</v>
      </c>
    </row>
    <row r="30" spans="1:3">
      <c r="A30" t="s">
        <v>8</v>
      </c>
      <c r="B30">
        <v>1</v>
      </c>
      <c r="C30">
        <v>0.66491499997209702</v>
      </c>
    </row>
    <row r="31" spans="1:3">
      <c r="A31" t="s">
        <v>8</v>
      </c>
      <c r="B31">
        <v>1</v>
      </c>
      <c r="C31">
        <v>0.63739559997338802</v>
      </c>
    </row>
    <row r="32" spans="1:3">
      <c r="A32" t="s">
        <v>6</v>
      </c>
      <c r="B32">
        <v>1</v>
      </c>
      <c r="C32">
        <v>0.91558660008013204</v>
      </c>
    </row>
    <row r="33" spans="1:3">
      <c r="A33" t="s">
        <v>6</v>
      </c>
      <c r="B33">
        <v>1</v>
      </c>
      <c r="C33">
        <v>0.457885700045153</v>
      </c>
    </row>
    <row r="34" spans="1:3">
      <c r="A34" t="s">
        <v>6</v>
      </c>
      <c r="B34">
        <v>1</v>
      </c>
      <c r="C34">
        <v>0.53540799999609501</v>
      </c>
    </row>
    <row r="35" spans="1:3">
      <c r="A35" t="s">
        <v>8</v>
      </c>
      <c r="B35">
        <v>1</v>
      </c>
      <c r="C35">
        <v>0.53298970009200197</v>
      </c>
    </row>
    <row r="36" spans="1:3">
      <c r="A36" t="s">
        <v>6</v>
      </c>
      <c r="B36">
        <v>1</v>
      </c>
      <c r="C36">
        <v>0.58874430006835599</v>
      </c>
    </row>
    <row r="37" spans="1:3">
      <c r="A37" t="s">
        <v>8</v>
      </c>
      <c r="B37">
        <v>1</v>
      </c>
      <c r="C37">
        <v>0.59518920001573805</v>
      </c>
    </row>
    <row r="38" spans="1:3">
      <c r="A38" t="s">
        <v>6</v>
      </c>
      <c r="B38">
        <v>1</v>
      </c>
      <c r="C38">
        <v>0.60709179996047102</v>
      </c>
    </row>
    <row r="39" spans="1:3" hidden="1">
      <c r="A39" t="s">
        <v>8</v>
      </c>
      <c r="B39">
        <v>0</v>
      </c>
      <c r="C39">
        <v>0.50372620008420199</v>
      </c>
    </row>
    <row r="40" spans="1:3">
      <c r="A40" t="s">
        <v>8</v>
      </c>
      <c r="B40">
        <v>1</v>
      </c>
      <c r="C40">
        <v>1.00172660010866</v>
      </c>
    </row>
    <row r="41" spans="1:3">
      <c r="A41" t="s">
        <v>6</v>
      </c>
      <c r="B41">
        <v>1</v>
      </c>
      <c r="C41">
        <v>0.69968119997065503</v>
      </c>
    </row>
    <row r="42" spans="1:3">
      <c r="A42" t="s">
        <v>8</v>
      </c>
      <c r="B42">
        <v>1</v>
      </c>
      <c r="C42">
        <v>0.75709870003629398</v>
      </c>
    </row>
    <row r="43" spans="1:3">
      <c r="A43" t="s">
        <v>6</v>
      </c>
      <c r="B43">
        <v>1</v>
      </c>
      <c r="C43">
        <v>0.53663689992390495</v>
      </c>
    </row>
    <row r="44" spans="1:3">
      <c r="A44" t="s">
        <v>8</v>
      </c>
      <c r="B44">
        <v>1</v>
      </c>
      <c r="C44">
        <v>0.58337410003878098</v>
      </c>
    </row>
    <row r="45" spans="1:3">
      <c r="A45" t="s">
        <v>6</v>
      </c>
      <c r="B45">
        <v>1</v>
      </c>
      <c r="C45">
        <v>0.61811709997709796</v>
      </c>
    </row>
    <row r="46" spans="1:3">
      <c r="A46" t="s">
        <v>6</v>
      </c>
      <c r="B46">
        <v>1</v>
      </c>
      <c r="C46">
        <v>0.644617400015704</v>
      </c>
    </row>
    <row r="47" spans="1:3">
      <c r="A47" t="s">
        <v>8</v>
      </c>
      <c r="B47">
        <v>1</v>
      </c>
      <c r="C47">
        <v>0.60472259996458799</v>
      </c>
    </row>
    <row r="48" spans="1:3">
      <c r="A48" t="s">
        <v>6</v>
      </c>
      <c r="B48">
        <v>1</v>
      </c>
      <c r="C48">
        <v>0.50218089995905701</v>
      </c>
    </row>
    <row r="49" spans="1:3">
      <c r="A49" t="s">
        <v>8</v>
      </c>
      <c r="B49">
        <v>1</v>
      </c>
      <c r="C49">
        <v>1.01454010000452</v>
      </c>
    </row>
    <row r="50" spans="1:3">
      <c r="A50" t="s">
        <v>8</v>
      </c>
      <c r="B50">
        <v>1</v>
      </c>
      <c r="C50">
        <v>0.56661530002020299</v>
      </c>
    </row>
    <row r="51" spans="1:3">
      <c r="A51" t="s">
        <v>8</v>
      </c>
      <c r="B51">
        <v>1</v>
      </c>
      <c r="C51">
        <v>0.51641040004324101</v>
      </c>
    </row>
    <row r="52" spans="1:3">
      <c r="A52" t="s">
        <v>6</v>
      </c>
      <c r="B52">
        <v>1</v>
      </c>
      <c r="C52">
        <v>0.44972520007286199</v>
      </c>
    </row>
    <row r="53" spans="1:3">
      <c r="A53" t="s">
        <v>6</v>
      </c>
      <c r="B53">
        <v>1</v>
      </c>
      <c r="C53">
        <v>0.58108749997336395</v>
      </c>
    </row>
    <row r="54" spans="1:3">
      <c r="A54" t="s">
        <v>6</v>
      </c>
      <c r="B54">
        <v>1</v>
      </c>
      <c r="C54">
        <v>0.43430459999944998</v>
      </c>
    </row>
    <row r="55" spans="1:3">
      <c r="A55" t="s">
        <v>8</v>
      </c>
      <c r="B55">
        <v>1</v>
      </c>
      <c r="C55">
        <v>0.57130459998734295</v>
      </c>
    </row>
    <row r="56" spans="1:3">
      <c r="A56" t="s">
        <v>6</v>
      </c>
      <c r="B56">
        <v>1</v>
      </c>
      <c r="C56">
        <v>0.52019940002355702</v>
      </c>
    </row>
    <row r="57" spans="1:3">
      <c r="A57" t="s">
        <v>8</v>
      </c>
      <c r="B57">
        <v>1</v>
      </c>
      <c r="C57">
        <v>0.52795919997151897</v>
      </c>
    </row>
    <row r="58" spans="1:3">
      <c r="A58" t="s">
        <v>8</v>
      </c>
      <c r="B58">
        <v>1</v>
      </c>
      <c r="C58">
        <v>0.61089390004053701</v>
      </c>
    </row>
    <row r="59" spans="1:3">
      <c r="A59" t="s">
        <v>8</v>
      </c>
      <c r="B59">
        <v>1</v>
      </c>
      <c r="C59">
        <v>0.580688099958933</v>
      </c>
    </row>
    <row r="60" spans="1:3">
      <c r="A60" t="s">
        <v>6</v>
      </c>
      <c r="B60">
        <v>1</v>
      </c>
      <c r="C60">
        <v>0.55736289999913402</v>
      </c>
    </row>
    <row r="61" spans="1:3">
      <c r="A61" t="s">
        <v>6</v>
      </c>
      <c r="B61">
        <v>1</v>
      </c>
      <c r="C61">
        <v>0.63897770002949905</v>
      </c>
    </row>
    <row r="62" spans="1:3">
      <c r="A62" t="s">
        <v>6</v>
      </c>
      <c r="B62">
        <v>1</v>
      </c>
      <c r="C62">
        <v>0.57269810000434496</v>
      </c>
    </row>
    <row r="63" spans="1:3">
      <c r="A63" t="s">
        <v>8</v>
      </c>
      <c r="B63">
        <v>1</v>
      </c>
      <c r="C63">
        <v>0.78619900008197796</v>
      </c>
    </row>
    <row r="64" spans="1:3">
      <c r="A64" t="s">
        <v>6</v>
      </c>
      <c r="B64">
        <v>1</v>
      </c>
      <c r="C64">
        <v>0.732585599995218</v>
      </c>
    </row>
    <row r="65" spans="1:3">
      <c r="A65" t="s">
        <v>8</v>
      </c>
      <c r="B65">
        <v>1</v>
      </c>
      <c r="C65">
        <v>0.57315960002597399</v>
      </c>
    </row>
    <row r="66" spans="1:3">
      <c r="A66" t="s">
        <v>6</v>
      </c>
      <c r="B66">
        <v>1</v>
      </c>
      <c r="C66">
        <v>0.43689650006126601</v>
      </c>
    </row>
    <row r="67" spans="1:3">
      <c r="A67" t="s">
        <v>6</v>
      </c>
      <c r="B67">
        <v>1</v>
      </c>
      <c r="C67">
        <v>0.55321919999550995</v>
      </c>
    </row>
    <row r="68" spans="1:3">
      <c r="A68" t="s">
        <v>8</v>
      </c>
      <c r="B68">
        <v>1</v>
      </c>
      <c r="C68">
        <v>0.81205740000586901</v>
      </c>
    </row>
    <row r="69" spans="1:3">
      <c r="A69" t="s">
        <v>8</v>
      </c>
      <c r="B69">
        <v>1</v>
      </c>
      <c r="C69">
        <v>0.62589959998149403</v>
      </c>
    </row>
    <row r="70" spans="1:3">
      <c r="A70" t="s">
        <v>8</v>
      </c>
      <c r="B70">
        <v>1</v>
      </c>
      <c r="C70">
        <v>0.54746380005963102</v>
      </c>
    </row>
    <row r="71" spans="1:3">
      <c r="A71" t="s">
        <v>8</v>
      </c>
      <c r="B71">
        <v>1</v>
      </c>
      <c r="C71">
        <v>0.584993499913252</v>
      </c>
    </row>
    <row r="72" spans="1:3">
      <c r="A72" t="s">
        <v>6</v>
      </c>
      <c r="B72">
        <v>1</v>
      </c>
      <c r="C72">
        <v>0.60284140007570297</v>
      </c>
    </row>
    <row r="73" spans="1:3">
      <c r="A73" t="s">
        <v>6</v>
      </c>
      <c r="B73">
        <v>1</v>
      </c>
      <c r="C73">
        <v>0.56247210002038595</v>
      </c>
    </row>
    <row r="74" spans="1:3">
      <c r="A74" t="s">
        <v>6</v>
      </c>
      <c r="B74">
        <v>1</v>
      </c>
      <c r="C74">
        <v>0.58779660006985002</v>
      </c>
    </row>
    <row r="75" spans="1:3">
      <c r="A75" t="s">
        <v>6</v>
      </c>
      <c r="B75">
        <v>1</v>
      </c>
      <c r="C75">
        <v>0.68317659990862001</v>
      </c>
    </row>
    <row r="76" spans="1:3">
      <c r="A76" t="s">
        <v>8</v>
      </c>
      <c r="B76">
        <v>1</v>
      </c>
      <c r="C76">
        <v>0.80006779998075195</v>
      </c>
    </row>
    <row r="77" spans="1:3">
      <c r="A77" t="s">
        <v>8</v>
      </c>
      <c r="B77">
        <v>1</v>
      </c>
      <c r="C77">
        <v>0.55254559998866104</v>
      </c>
    </row>
    <row r="78" spans="1:3">
      <c r="A78" t="s">
        <v>6</v>
      </c>
      <c r="B78">
        <v>1</v>
      </c>
      <c r="C78">
        <v>0.548637600033544</v>
      </c>
    </row>
    <row r="79" spans="1:3">
      <c r="A79" t="s">
        <v>8</v>
      </c>
      <c r="B79">
        <v>1</v>
      </c>
      <c r="C79">
        <v>0.58368949999567099</v>
      </c>
    </row>
    <row r="80" spans="1:3">
      <c r="A80" t="s">
        <v>6</v>
      </c>
      <c r="B80">
        <v>1</v>
      </c>
      <c r="C80">
        <v>0.51704029995016698</v>
      </c>
    </row>
    <row r="81" spans="1:3">
      <c r="A81" t="s">
        <v>8</v>
      </c>
      <c r="B81">
        <v>1</v>
      </c>
      <c r="C81">
        <v>0.60463590000290401</v>
      </c>
    </row>
    <row r="82" spans="1:3" hidden="1"/>
  </sheetData>
  <autoFilter ref="B1:B82" xr:uid="{A610CFBE-6DE5-45B1-A159-BC8CF5849CCC}">
    <filterColumn colId="0">
      <filters>
        <filter val="1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BB12C-21DD-4EA8-B847-016BF9F14F04}">
  <sheetPr filterMode="1"/>
  <dimension ref="A1:H82"/>
  <sheetViews>
    <sheetView workbookViewId="0">
      <selection activeCell="F3" sqref="F3"/>
    </sheetView>
  </sheetViews>
  <sheetFormatPr defaultRowHeight="15"/>
  <cols>
    <col min="1" max="1" width="11.140625" bestFit="1" customWidth="1"/>
    <col min="2" max="2" width="12.85546875" bestFit="1" customWidth="1"/>
    <col min="3" max="3" width="10.7109375" bestFit="1" customWidth="1"/>
    <col min="6" max="6" width="14.28515625" customWidth="1"/>
    <col min="7" max="7" width="16.5703125" customWidth="1"/>
    <col min="8" max="8" width="37.28515625" customWidth="1"/>
  </cols>
  <sheetData>
    <row r="1" spans="1:8">
      <c r="A1" s="1" t="s">
        <v>0</v>
      </c>
      <c r="B1" s="1" t="s">
        <v>1</v>
      </c>
      <c r="C1" s="1" t="s">
        <v>2</v>
      </c>
      <c r="F1" s="5" t="s">
        <v>3</v>
      </c>
      <c r="G1" s="5" t="s">
        <v>4</v>
      </c>
      <c r="H1" s="5" t="s">
        <v>5</v>
      </c>
    </row>
    <row r="2" spans="1:8">
      <c r="A2" t="s">
        <v>8</v>
      </c>
      <c r="B2">
        <v>1</v>
      </c>
      <c r="C2">
        <v>1.46783969993703</v>
      </c>
      <c r="F2" t="s">
        <v>7</v>
      </c>
      <c r="G2" s="2">
        <f>AVERAGEIFS(C:C, A:A, "congruent", B:B, 1)</f>
        <v>0.58236675750231348</v>
      </c>
      <c r="H2" s="2">
        <f>AVERAGEIFS(C:C, A:A, "incongruent", B:B, 1)</f>
        <v>1.1137117153833576</v>
      </c>
    </row>
    <row r="3" spans="1:8">
      <c r="A3" t="s">
        <v>6</v>
      </c>
      <c r="B3">
        <v>1</v>
      </c>
      <c r="C3">
        <v>0.79043419996742104</v>
      </c>
      <c r="F3" s="4" t="s">
        <v>9</v>
      </c>
      <c r="G3" s="3">
        <f>AVERAGEIF(A:A, "congruent", B:B)*100</f>
        <v>100</v>
      </c>
      <c r="H3" s="3">
        <f>AVERAGEIF(A:A, "incongruent", B:B)*100</f>
        <v>97.5</v>
      </c>
    </row>
    <row r="4" spans="1:8">
      <c r="A4" t="s">
        <v>6</v>
      </c>
      <c r="B4">
        <v>1</v>
      </c>
      <c r="C4">
        <v>0.40181800001300799</v>
      </c>
      <c r="F4" s="4"/>
      <c r="G4" s="3"/>
      <c r="H4" s="3"/>
    </row>
    <row r="5" spans="1:8">
      <c r="A5" t="s">
        <v>8</v>
      </c>
      <c r="B5">
        <v>1</v>
      </c>
      <c r="C5">
        <v>0.56441200000699598</v>
      </c>
    </row>
    <row r="6" spans="1:8">
      <c r="A6" t="s">
        <v>6</v>
      </c>
      <c r="B6">
        <v>1</v>
      </c>
      <c r="C6">
        <v>0.56565420003607803</v>
      </c>
    </row>
    <row r="7" spans="1:8">
      <c r="A7" t="s">
        <v>8</v>
      </c>
      <c r="B7">
        <v>1</v>
      </c>
      <c r="C7">
        <v>0.68769509997218803</v>
      </c>
    </row>
    <row r="8" spans="1:8">
      <c r="A8" t="s">
        <v>8</v>
      </c>
      <c r="B8">
        <v>1</v>
      </c>
      <c r="C8">
        <v>1.1800249000079901</v>
      </c>
    </row>
    <row r="9" spans="1:8">
      <c r="A9" t="s">
        <v>6</v>
      </c>
      <c r="B9">
        <v>1</v>
      </c>
      <c r="C9">
        <v>0.42833509994670699</v>
      </c>
    </row>
    <row r="10" spans="1:8">
      <c r="A10" t="s">
        <v>8</v>
      </c>
      <c r="B10">
        <v>1</v>
      </c>
      <c r="C10">
        <v>1.4253387999488001</v>
      </c>
    </row>
    <row r="11" spans="1:8">
      <c r="A11" t="s">
        <v>8</v>
      </c>
      <c r="B11">
        <v>1</v>
      </c>
      <c r="C11">
        <v>0.81123700004536603</v>
      </c>
    </row>
    <row r="12" spans="1:8">
      <c r="A12" t="s">
        <v>6</v>
      </c>
      <c r="B12">
        <v>1</v>
      </c>
      <c r="C12">
        <v>0.88718550000339702</v>
      </c>
    </row>
    <row r="13" spans="1:8">
      <c r="A13" t="s">
        <v>6</v>
      </c>
      <c r="B13">
        <v>1</v>
      </c>
      <c r="C13">
        <v>0.40303340007085298</v>
      </c>
    </row>
    <row r="14" spans="1:8">
      <c r="A14" t="s">
        <v>8</v>
      </c>
      <c r="B14">
        <v>1</v>
      </c>
      <c r="C14">
        <v>1.28631899994798</v>
      </c>
    </row>
    <row r="15" spans="1:8">
      <c r="A15" t="s">
        <v>6</v>
      </c>
      <c r="B15">
        <v>1</v>
      </c>
      <c r="C15">
        <v>0.39852739998605102</v>
      </c>
    </row>
    <row r="16" spans="1:8">
      <c r="A16" t="s">
        <v>6</v>
      </c>
      <c r="B16">
        <v>1</v>
      </c>
      <c r="C16">
        <v>0.59592880005948201</v>
      </c>
    </row>
    <row r="17" spans="1:3">
      <c r="A17" t="s">
        <v>8</v>
      </c>
      <c r="B17">
        <v>1</v>
      </c>
      <c r="C17">
        <v>1.32303589989896</v>
      </c>
    </row>
    <row r="18" spans="1:3">
      <c r="A18" t="s">
        <v>6</v>
      </c>
      <c r="B18">
        <v>1</v>
      </c>
      <c r="C18">
        <v>0.630788400070741</v>
      </c>
    </row>
    <row r="19" spans="1:3">
      <c r="A19" t="s">
        <v>8</v>
      </c>
      <c r="B19">
        <v>1</v>
      </c>
      <c r="C19">
        <v>0.65089299995452099</v>
      </c>
    </row>
    <row r="20" spans="1:3">
      <c r="A20" t="s">
        <v>6</v>
      </c>
      <c r="B20">
        <v>1</v>
      </c>
      <c r="C20">
        <v>0.73679360002279204</v>
      </c>
    </row>
    <row r="21" spans="1:3">
      <c r="A21" t="s">
        <v>8</v>
      </c>
      <c r="B21">
        <v>1</v>
      </c>
      <c r="C21">
        <v>0.46490350004751202</v>
      </c>
    </row>
    <row r="22" spans="1:3">
      <c r="A22" t="s">
        <v>8</v>
      </c>
      <c r="B22">
        <v>1</v>
      </c>
      <c r="C22">
        <v>0.48612340004183302</v>
      </c>
    </row>
    <row r="23" spans="1:3">
      <c r="A23" t="s">
        <v>6</v>
      </c>
      <c r="B23">
        <v>1</v>
      </c>
      <c r="C23">
        <v>0.93862959998659701</v>
      </c>
    </row>
    <row r="24" spans="1:3">
      <c r="A24" t="s">
        <v>6</v>
      </c>
      <c r="B24">
        <v>1</v>
      </c>
      <c r="C24">
        <v>0.62874559999909196</v>
      </c>
    </row>
    <row r="25" spans="1:3">
      <c r="A25" t="s">
        <v>8</v>
      </c>
      <c r="B25">
        <v>1</v>
      </c>
      <c r="C25">
        <v>2.11806010000873</v>
      </c>
    </row>
    <row r="26" spans="1:3">
      <c r="A26" t="s">
        <v>6</v>
      </c>
      <c r="B26">
        <v>1</v>
      </c>
      <c r="C26">
        <v>0.69810539996251397</v>
      </c>
    </row>
    <row r="27" spans="1:3">
      <c r="A27" t="s">
        <v>8</v>
      </c>
      <c r="B27">
        <v>1</v>
      </c>
      <c r="C27">
        <v>0.58081890002358705</v>
      </c>
    </row>
    <row r="28" spans="1:3">
      <c r="A28" t="s">
        <v>8</v>
      </c>
      <c r="B28">
        <v>1</v>
      </c>
      <c r="C28">
        <v>0.78620890004094601</v>
      </c>
    </row>
    <row r="29" spans="1:3">
      <c r="A29" t="s">
        <v>6</v>
      </c>
      <c r="B29">
        <v>1</v>
      </c>
      <c r="C29">
        <v>0.537060800008475</v>
      </c>
    </row>
    <row r="30" spans="1:3">
      <c r="A30" t="s">
        <v>6</v>
      </c>
      <c r="B30">
        <v>1</v>
      </c>
      <c r="C30">
        <v>0.448292699991725</v>
      </c>
    </row>
    <row r="31" spans="1:3">
      <c r="A31" t="s">
        <v>6</v>
      </c>
      <c r="B31">
        <v>1</v>
      </c>
      <c r="C31">
        <v>0.53171420004218795</v>
      </c>
    </row>
    <row r="32" spans="1:3">
      <c r="A32" t="s">
        <v>8</v>
      </c>
      <c r="B32">
        <v>1</v>
      </c>
      <c r="C32">
        <v>1.6520438999868901</v>
      </c>
    </row>
    <row r="33" spans="1:3">
      <c r="A33" t="s">
        <v>8</v>
      </c>
      <c r="B33">
        <v>1</v>
      </c>
      <c r="C33">
        <v>0.55195460002869301</v>
      </c>
    </row>
    <row r="34" spans="1:3">
      <c r="A34" t="s">
        <v>8</v>
      </c>
      <c r="B34">
        <v>1</v>
      </c>
      <c r="C34">
        <v>0.54078750009648502</v>
      </c>
    </row>
    <row r="35" spans="1:3">
      <c r="A35" t="s">
        <v>6</v>
      </c>
      <c r="B35">
        <v>1</v>
      </c>
      <c r="C35">
        <v>0.49959029990713999</v>
      </c>
    </row>
    <row r="36" spans="1:3">
      <c r="A36" t="s">
        <v>6</v>
      </c>
      <c r="B36">
        <v>1</v>
      </c>
      <c r="C36">
        <v>0.62773690000176396</v>
      </c>
    </row>
    <row r="37" spans="1:3">
      <c r="A37" t="s">
        <v>8</v>
      </c>
      <c r="B37">
        <v>1</v>
      </c>
      <c r="C37">
        <v>0.76004520000424203</v>
      </c>
    </row>
    <row r="38" spans="1:3">
      <c r="A38" t="s">
        <v>6</v>
      </c>
      <c r="B38">
        <v>1</v>
      </c>
      <c r="C38">
        <v>0.48698230006266302</v>
      </c>
    </row>
    <row r="39" spans="1:3">
      <c r="A39" t="s">
        <v>8</v>
      </c>
      <c r="B39">
        <v>1</v>
      </c>
      <c r="C39">
        <v>1.04928620008286</v>
      </c>
    </row>
    <row r="40" spans="1:3">
      <c r="A40" t="s">
        <v>8</v>
      </c>
      <c r="B40">
        <v>1</v>
      </c>
      <c r="C40">
        <v>0.67221119999885504</v>
      </c>
    </row>
    <row r="41" spans="1:3">
      <c r="A41" t="s">
        <v>6</v>
      </c>
      <c r="B41">
        <v>1</v>
      </c>
      <c r="C41">
        <v>0.67235670005902604</v>
      </c>
    </row>
    <row r="42" spans="1:3">
      <c r="A42" t="s">
        <v>8</v>
      </c>
      <c r="B42">
        <v>1</v>
      </c>
      <c r="C42">
        <v>1.90164529997855</v>
      </c>
    </row>
    <row r="43" spans="1:3">
      <c r="A43" t="s">
        <v>6</v>
      </c>
      <c r="B43">
        <v>1</v>
      </c>
      <c r="C43">
        <v>0.64783899998292305</v>
      </c>
    </row>
    <row r="44" spans="1:3">
      <c r="A44" t="s">
        <v>6</v>
      </c>
      <c r="B44">
        <v>1</v>
      </c>
      <c r="C44">
        <v>1.2065185999963399</v>
      </c>
    </row>
    <row r="45" spans="1:3">
      <c r="A45" t="s">
        <v>8</v>
      </c>
      <c r="B45">
        <v>1</v>
      </c>
      <c r="C45">
        <v>0.92592469998635296</v>
      </c>
    </row>
    <row r="46" spans="1:3">
      <c r="A46" t="s">
        <v>8</v>
      </c>
      <c r="B46">
        <v>1</v>
      </c>
      <c r="C46">
        <v>0.75068449997343101</v>
      </c>
    </row>
    <row r="47" spans="1:3">
      <c r="A47" t="s">
        <v>6</v>
      </c>
      <c r="B47">
        <v>1</v>
      </c>
      <c r="C47">
        <v>0.68229029991198298</v>
      </c>
    </row>
    <row r="48" spans="1:3">
      <c r="A48" t="s">
        <v>8</v>
      </c>
      <c r="B48">
        <v>1</v>
      </c>
      <c r="C48">
        <v>2.5530444999458202</v>
      </c>
    </row>
    <row r="49" spans="1:3">
      <c r="A49" t="s">
        <v>6</v>
      </c>
      <c r="B49">
        <v>1</v>
      </c>
      <c r="C49">
        <v>0.386933600064367</v>
      </c>
    </row>
    <row r="50" spans="1:3">
      <c r="A50" t="s">
        <v>6</v>
      </c>
      <c r="B50">
        <v>1</v>
      </c>
      <c r="C50">
        <v>0.51228629995603103</v>
      </c>
    </row>
    <row r="51" spans="1:3">
      <c r="A51" t="s">
        <v>6</v>
      </c>
      <c r="B51">
        <v>1</v>
      </c>
      <c r="C51">
        <v>0.55200409993994903</v>
      </c>
    </row>
    <row r="52" spans="1:3">
      <c r="A52" t="s">
        <v>8</v>
      </c>
      <c r="B52">
        <v>1</v>
      </c>
      <c r="C52">
        <v>0.57492059993091904</v>
      </c>
    </row>
    <row r="53" spans="1:3">
      <c r="A53" t="s">
        <v>8</v>
      </c>
      <c r="B53">
        <v>1</v>
      </c>
      <c r="C53">
        <v>1.3819089999887999</v>
      </c>
    </row>
    <row r="54" spans="1:3">
      <c r="A54" t="s">
        <v>6</v>
      </c>
      <c r="B54">
        <v>1</v>
      </c>
      <c r="C54">
        <v>0.64968499995302398</v>
      </c>
    </row>
    <row r="55" spans="1:3">
      <c r="A55" t="s">
        <v>6</v>
      </c>
      <c r="B55">
        <v>1</v>
      </c>
      <c r="C55">
        <v>0.39888460002839499</v>
      </c>
    </row>
    <row r="56" spans="1:3">
      <c r="A56" t="s">
        <v>8</v>
      </c>
      <c r="B56">
        <v>1</v>
      </c>
      <c r="C56">
        <v>1.711477200035</v>
      </c>
    </row>
    <row r="57" spans="1:3">
      <c r="A57" t="s">
        <v>8</v>
      </c>
      <c r="B57">
        <v>1</v>
      </c>
      <c r="C57">
        <v>0.637254399945959</v>
      </c>
    </row>
    <row r="58" spans="1:3">
      <c r="A58" t="s">
        <v>8</v>
      </c>
      <c r="B58">
        <v>1</v>
      </c>
      <c r="C58">
        <v>1.15973980003036</v>
      </c>
    </row>
    <row r="59" spans="1:3">
      <c r="A59" t="s">
        <v>6</v>
      </c>
      <c r="B59">
        <v>1</v>
      </c>
      <c r="C59">
        <v>0.43344540009275001</v>
      </c>
    </row>
    <row r="60" spans="1:3" hidden="1">
      <c r="A60" t="s">
        <v>8</v>
      </c>
      <c r="B60">
        <v>0</v>
      </c>
      <c r="C60">
        <v>0.490434999926947</v>
      </c>
    </row>
    <row r="61" spans="1:3">
      <c r="A61" t="s">
        <v>6</v>
      </c>
      <c r="B61">
        <v>1</v>
      </c>
      <c r="C61">
        <v>0.64010010007768803</v>
      </c>
    </row>
    <row r="62" spans="1:3">
      <c r="A62" t="s">
        <v>8</v>
      </c>
      <c r="B62">
        <v>1</v>
      </c>
      <c r="C62">
        <v>2.1904805999947699</v>
      </c>
    </row>
    <row r="63" spans="1:3">
      <c r="A63" t="s">
        <v>6</v>
      </c>
      <c r="B63">
        <v>1</v>
      </c>
      <c r="C63">
        <v>0.54376749997027196</v>
      </c>
    </row>
    <row r="64" spans="1:3">
      <c r="A64" t="s">
        <v>6</v>
      </c>
      <c r="B64">
        <v>1</v>
      </c>
      <c r="C64">
        <v>0.39589589997194702</v>
      </c>
    </row>
    <row r="65" spans="1:3">
      <c r="A65" t="s">
        <v>8</v>
      </c>
      <c r="B65">
        <v>1</v>
      </c>
      <c r="C65">
        <v>2.11686399998143</v>
      </c>
    </row>
    <row r="66" spans="1:3">
      <c r="A66" t="s">
        <v>6</v>
      </c>
      <c r="B66">
        <v>1</v>
      </c>
      <c r="C66">
        <v>0.65281370002776296</v>
      </c>
    </row>
    <row r="67" spans="1:3">
      <c r="A67" t="s">
        <v>8</v>
      </c>
      <c r="B67">
        <v>1</v>
      </c>
      <c r="C67">
        <v>0.74246550002135303</v>
      </c>
    </row>
    <row r="68" spans="1:3">
      <c r="A68" t="s">
        <v>6</v>
      </c>
      <c r="B68">
        <v>1</v>
      </c>
      <c r="C68">
        <v>0.63773810002021403</v>
      </c>
    </row>
    <row r="69" spans="1:3">
      <c r="A69" t="s">
        <v>8</v>
      </c>
      <c r="B69">
        <v>1</v>
      </c>
      <c r="C69">
        <v>1.5498833999736199</v>
      </c>
    </row>
    <row r="70" spans="1:3">
      <c r="A70" t="s">
        <v>8</v>
      </c>
      <c r="B70">
        <v>1</v>
      </c>
      <c r="C70">
        <v>1.43204660003539</v>
      </c>
    </row>
    <row r="71" spans="1:3">
      <c r="A71" t="s">
        <v>6</v>
      </c>
      <c r="B71">
        <v>1</v>
      </c>
      <c r="C71">
        <v>0.57457910000812196</v>
      </c>
    </row>
    <row r="72" spans="1:3">
      <c r="A72" t="s">
        <v>8</v>
      </c>
      <c r="B72">
        <v>1</v>
      </c>
      <c r="C72">
        <v>1.03229789994657</v>
      </c>
    </row>
    <row r="73" spans="1:3">
      <c r="A73" t="s">
        <v>6</v>
      </c>
      <c r="B73">
        <v>1</v>
      </c>
      <c r="C73">
        <v>0.54023049992974803</v>
      </c>
    </row>
    <row r="74" spans="1:3">
      <c r="A74" t="s">
        <v>6</v>
      </c>
      <c r="B74">
        <v>1</v>
      </c>
      <c r="C74">
        <v>0.43319270003121302</v>
      </c>
    </row>
    <row r="75" spans="1:3">
      <c r="A75" t="s">
        <v>8</v>
      </c>
      <c r="B75">
        <v>1</v>
      </c>
      <c r="C75">
        <v>1.49593189998995</v>
      </c>
    </row>
    <row r="76" spans="1:3">
      <c r="A76" t="s">
        <v>8</v>
      </c>
      <c r="B76">
        <v>1</v>
      </c>
      <c r="C76">
        <v>0.60465180000755903</v>
      </c>
    </row>
    <row r="77" spans="1:3">
      <c r="A77" t="s">
        <v>6</v>
      </c>
      <c r="B77">
        <v>1</v>
      </c>
      <c r="C77">
        <v>0.528373599983751</v>
      </c>
    </row>
    <row r="78" spans="1:3">
      <c r="A78" t="s">
        <v>6</v>
      </c>
      <c r="B78">
        <v>1</v>
      </c>
      <c r="C78">
        <v>0.46426409995183299</v>
      </c>
    </row>
    <row r="79" spans="1:3">
      <c r="A79" t="s">
        <v>6</v>
      </c>
      <c r="B79">
        <v>1</v>
      </c>
      <c r="C79">
        <v>0.50611499999649801</v>
      </c>
    </row>
    <row r="80" spans="1:3">
      <c r="A80" t="s">
        <v>8</v>
      </c>
      <c r="B80">
        <v>1</v>
      </c>
      <c r="C80">
        <v>0.85484590008854799</v>
      </c>
    </row>
    <row r="81" spans="1:3">
      <c r="A81" t="s">
        <v>8</v>
      </c>
      <c r="B81">
        <v>1</v>
      </c>
      <c r="C81">
        <v>0.75945050001610004</v>
      </c>
    </row>
    <row r="82" spans="1:3" hidden="1"/>
  </sheetData>
  <autoFilter ref="B1:B82" xr:uid="{DB2BB12C-21DD-4EA8-B847-016BF9F14F04}">
    <filterColumn colId="0">
      <filters>
        <filter val="1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63434-55C8-40C7-AFA2-8B84D1901F2B}">
  <sheetPr filterMode="1"/>
  <dimension ref="A1:H82"/>
  <sheetViews>
    <sheetView workbookViewId="0">
      <selection activeCell="F3" sqref="F3"/>
    </sheetView>
  </sheetViews>
  <sheetFormatPr defaultRowHeight="15"/>
  <cols>
    <col min="1" max="1" width="11.140625" bestFit="1" customWidth="1"/>
    <col min="2" max="2" width="12.42578125" bestFit="1" customWidth="1"/>
    <col min="3" max="3" width="10.28515625" bestFit="1" customWidth="1"/>
    <col min="6" max="6" width="15.42578125" customWidth="1"/>
    <col min="7" max="7" width="17" customWidth="1"/>
    <col min="8" max="8" width="24.5703125" customWidth="1"/>
  </cols>
  <sheetData>
    <row r="1" spans="1:8">
      <c r="A1" s="1" t="s">
        <v>0</v>
      </c>
      <c r="B1" s="1" t="s">
        <v>1</v>
      </c>
      <c r="C1" s="1" t="s">
        <v>2</v>
      </c>
      <c r="F1" s="5" t="s">
        <v>3</v>
      </c>
      <c r="G1" s="5" t="s">
        <v>4</v>
      </c>
      <c r="H1" s="5" t="s">
        <v>5</v>
      </c>
    </row>
    <row r="2" spans="1:8">
      <c r="A2" t="s">
        <v>8</v>
      </c>
      <c r="B2">
        <v>1</v>
      </c>
      <c r="C2">
        <v>1.2644003999885101</v>
      </c>
      <c r="F2" t="s">
        <v>7</v>
      </c>
      <c r="G2" s="2">
        <f>AVERAGEIFS(C:C, A:A, "congruent", B:B, 1)</f>
        <v>0.48539162500528599</v>
      </c>
      <c r="H2" s="2">
        <f>AVERAGEIFS(C:C, A:A, "incongruent", B:B, 1)</f>
        <v>0.73353855833475845</v>
      </c>
    </row>
    <row r="3" spans="1:8">
      <c r="A3" t="s">
        <v>6</v>
      </c>
      <c r="B3">
        <v>1</v>
      </c>
      <c r="C3">
        <v>0.77390140003990304</v>
      </c>
      <c r="F3" s="4" t="s">
        <v>9</v>
      </c>
      <c r="G3" s="3">
        <f>AVERAGEIF(A:A, "congruent", B:B)*100</f>
        <v>100</v>
      </c>
      <c r="H3" s="3">
        <f>AVERAGEIF(A:A, "incongruent", B:B)*100</f>
        <v>90</v>
      </c>
    </row>
    <row r="4" spans="1:8">
      <c r="A4" t="s">
        <v>6</v>
      </c>
      <c r="B4">
        <v>1</v>
      </c>
      <c r="C4">
        <v>0.67175560002215196</v>
      </c>
    </row>
    <row r="5" spans="1:8" hidden="1">
      <c r="A5" t="s">
        <v>8</v>
      </c>
      <c r="B5">
        <v>0</v>
      </c>
      <c r="C5">
        <v>0.46187620004639002</v>
      </c>
    </row>
    <row r="6" spans="1:8">
      <c r="A6" t="s">
        <v>8</v>
      </c>
      <c r="B6">
        <v>1</v>
      </c>
      <c r="C6">
        <v>0.59440359997097403</v>
      </c>
    </row>
    <row r="7" spans="1:8">
      <c r="A7" t="s">
        <v>6</v>
      </c>
      <c r="B7">
        <v>1</v>
      </c>
      <c r="C7">
        <v>0.50799319997895498</v>
      </c>
    </row>
    <row r="8" spans="1:8">
      <c r="A8" t="s">
        <v>8</v>
      </c>
      <c r="B8">
        <v>1</v>
      </c>
      <c r="C8">
        <v>4.0244013000046799</v>
      </c>
    </row>
    <row r="9" spans="1:8">
      <c r="A9" t="s">
        <v>6</v>
      </c>
      <c r="B9">
        <v>1</v>
      </c>
      <c r="C9">
        <v>0.92976179998368003</v>
      </c>
    </row>
    <row r="10" spans="1:8">
      <c r="A10" t="s">
        <v>8</v>
      </c>
      <c r="B10">
        <v>1</v>
      </c>
      <c r="C10">
        <v>0.55714749998878599</v>
      </c>
    </row>
    <row r="11" spans="1:8">
      <c r="A11" t="s">
        <v>6</v>
      </c>
      <c r="B11">
        <v>1</v>
      </c>
      <c r="C11">
        <v>0.41733399999793602</v>
      </c>
    </row>
    <row r="12" spans="1:8">
      <c r="A12" t="s">
        <v>6</v>
      </c>
      <c r="B12">
        <v>1</v>
      </c>
      <c r="C12">
        <v>0.55889629991724998</v>
      </c>
    </row>
    <row r="13" spans="1:8">
      <c r="A13" t="s">
        <v>8</v>
      </c>
      <c r="B13">
        <v>1</v>
      </c>
      <c r="C13">
        <v>0.60906229994725403</v>
      </c>
    </row>
    <row r="14" spans="1:8">
      <c r="A14" t="s">
        <v>6</v>
      </c>
      <c r="B14">
        <v>1</v>
      </c>
      <c r="C14">
        <v>0.397419900051318</v>
      </c>
    </row>
    <row r="15" spans="1:8">
      <c r="A15" t="s">
        <v>8</v>
      </c>
      <c r="B15">
        <v>1</v>
      </c>
      <c r="C15">
        <v>0.470731700072065</v>
      </c>
    </row>
    <row r="16" spans="1:8">
      <c r="A16" t="s">
        <v>8</v>
      </c>
      <c r="B16">
        <v>1</v>
      </c>
      <c r="C16">
        <v>0.51938770001288503</v>
      </c>
    </row>
    <row r="17" spans="1:3">
      <c r="A17" t="s">
        <v>6</v>
      </c>
      <c r="B17">
        <v>1</v>
      </c>
      <c r="C17">
        <v>0.45166270004119702</v>
      </c>
    </row>
    <row r="18" spans="1:3">
      <c r="A18" t="s">
        <v>6</v>
      </c>
      <c r="B18">
        <v>1</v>
      </c>
      <c r="C18">
        <v>0.32199959992431099</v>
      </c>
    </row>
    <row r="19" spans="1:3">
      <c r="A19" t="s">
        <v>8</v>
      </c>
      <c r="B19">
        <v>1</v>
      </c>
      <c r="C19">
        <v>0.52806569996755504</v>
      </c>
    </row>
    <row r="20" spans="1:3">
      <c r="A20" t="s">
        <v>8</v>
      </c>
      <c r="B20">
        <v>1</v>
      </c>
      <c r="C20">
        <v>0.581305500003509</v>
      </c>
    </row>
    <row r="21" spans="1:3">
      <c r="A21" t="s">
        <v>6</v>
      </c>
      <c r="B21">
        <v>1</v>
      </c>
      <c r="C21">
        <v>0.352965999976731</v>
      </c>
    </row>
    <row r="22" spans="1:3">
      <c r="A22" t="s">
        <v>6</v>
      </c>
      <c r="B22">
        <v>1</v>
      </c>
      <c r="C22">
        <v>0.46583680005278399</v>
      </c>
    </row>
    <row r="23" spans="1:3">
      <c r="A23" t="s">
        <v>8</v>
      </c>
      <c r="B23">
        <v>1</v>
      </c>
      <c r="C23">
        <v>0.51110650005284697</v>
      </c>
    </row>
    <row r="24" spans="1:3">
      <c r="A24" t="s">
        <v>6</v>
      </c>
      <c r="B24">
        <v>1</v>
      </c>
      <c r="C24">
        <v>0.413179000024683</v>
      </c>
    </row>
    <row r="25" spans="1:3" hidden="1">
      <c r="A25" t="s">
        <v>8</v>
      </c>
      <c r="B25">
        <v>0</v>
      </c>
      <c r="C25">
        <v>0.37070710002444601</v>
      </c>
    </row>
    <row r="26" spans="1:3">
      <c r="A26" t="s">
        <v>6</v>
      </c>
      <c r="B26">
        <v>1</v>
      </c>
      <c r="C26">
        <v>0.39657129999250101</v>
      </c>
    </row>
    <row r="27" spans="1:3">
      <c r="A27" t="s">
        <v>8</v>
      </c>
      <c r="B27">
        <v>1</v>
      </c>
      <c r="C27">
        <v>0.69961200002580803</v>
      </c>
    </row>
    <row r="28" spans="1:3">
      <c r="A28" t="s">
        <v>8</v>
      </c>
      <c r="B28">
        <v>1</v>
      </c>
      <c r="C28">
        <v>0.484188099973835</v>
      </c>
    </row>
    <row r="29" spans="1:3">
      <c r="A29" t="s">
        <v>6</v>
      </c>
      <c r="B29">
        <v>1</v>
      </c>
      <c r="C29">
        <v>0.45025259989779398</v>
      </c>
    </row>
    <row r="30" spans="1:3">
      <c r="A30" t="s">
        <v>8</v>
      </c>
      <c r="B30">
        <v>1</v>
      </c>
      <c r="C30">
        <v>0.64943069999571801</v>
      </c>
    </row>
    <row r="31" spans="1:3">
      <c r="A31" t="s">
        <v>6</v>
      </c>
      <c r="B31">
        <v>1</v>
      </c>
      <c r="C31">
        <v>0.46564770000986699</v>
      </c>
    </row>
    <row r="32" spans="1:3">
      <c r="A32" t="s">
        <v>6</v>
      </c>
      <c r="B32">
        <v>1</v>
      </c>
      <c r="C32">
        <v>0.38543839997146201</v>
      </c>
    </row>
    <row r="33" spans="1:3">
      <c r="A33" t="s">
        <v>8</v>
      </c>
      <c r="B33">
        <v>1</v>
      </c>
      <c r="C33">
        <v>0.68423620006069497</v>
      </c>
    </row>
    <row r="34" spans="1:3" hidden="1">
      <c r="A34" t="s">
        <v>8</v>
      </c>
      <c r="B34">
        <v>0</v>
      </c>
      <c r="C34">
        <v>0.38703570002689902</v>
      </c>
    </row>
    <row r="35" spans="1:3">
      <c r="A35" t="s">
        <v>6</v>
      </c>
      <c r="B35">
        <v>1</v>
      </c>
      <c r="C35">
        <v>0.55801349994726401</v>
      </c>
    </row>
    <row r="36" spans="1:3">
      <c r="A36" t="s">
        <v>8</v>
      </c>
      <c r="B36">
        <v>1</v>
      </c>
      <c r="C36">
        <v>0.91740299994125896</v>
      </c>
    </row>
    <row r="37" spans="1:3">
      <c r="A37" t="s">
        <v>6</v>
      </c>
      <c r="B37">
        <v>1</v>
      </c>
      <c r="C37">
        <v>0.40609369997400702</v>
      </c>
    </row>
    <row r="38" spans="1:3">
      <c r="A38" t="s">
        <v>8</v>
      </c>
      <c r="B38">
        <v>1</v>
      </c>
      <c r="C38">
        <v>0.70559830009005897</v>
      </c>
    </row>
    <row r="39" spans="1:3">
      <c r="A39" t="s">
        <v>6</v>
      </c>
      <c r="B39">
        <v>1</v>
      </c>
      <c r="C39">
        <v>0.50241190008819103</v>
      </c>
    </row>
    <row r="40" spans="1:3">
      <c r="A40" t="s">
        <v>8</v>
      </c>
      <c r="B40">
        <v>1</v>
      </c>
      <c r="C40">
        <v>0.53532239992637098</v>
      </c>
    </row>
    <row r="41" spans="1:3">
      <c r="A41" t="s">
        <v>6</v>
      </c>
      <c r="B41">
        <v>1</v>
      </c>
      <c r="C41">
        <v>0.488583200029097</v>
      </c>
    </row>
    <row r="42" spans="1:3">
      <c r="A42" t="s">
        <v>8</v>
      </c>
      <c r="B42">
        <v>1</v>
      </c>
      <c r="C42">
        <v>0.53126630000770003</v>
      </c>
    </row>
    <row r="43" spans="1:3">
      <c r="A43" t="s">
        <v>6</v>
      </c>
      <c r="B43">
        <v>1</v>
      </c>
      <c r="C43">
        <v>0.56579310004599304</v>
      </c>
    </row>
    <row r="44" spans="1:3">
      <c r="A44" t="s">
        <v>6</v>
      </c>
      <c r="B44">
        <v>1</v>
      </c>
      <c r="C44">
        <v>0.36687700008042101</v>
      </c>
    </row>
    <row r="45" spans="1:3">
      <c r="A45" t="s">
        <v>8</v>
      </c>
      <c r="B45">
        <v>1</v>
      </c>
      <c r="C45">
        <v>0.62089819996617701</v>
      </c>
    </row>
    <row r="46" spans="1:3">
      <c r="A46" t="s">
        <v>6</v>
      </c>
      <c r="B46">
        <v>1</v>
      </c>
      <c r="C46">
        <v>0.58342150005046201</v>
      </c>
    </row>
    <row r="47" spans="1:3">
      <c r="A47" t="s">
        <v>8</v>
      </c>
      <c r="B47">
        <v>1</v>
      </c>
      <c r="C47">
        <v>0.63211500004399501</v>
      </c>
    </row>
    <row r="48" spans="1:3">
      <c r="A48" t="s">
        <v>6</v>
      </c>
      <c r="B48">
        <v>1</v>
      </c>
      <c r="C48">
        <v>0.45750070002395599</v>
      </c>
    </row>
    <row r="49" spans="1:3">
      <c r="A49" t="s">
        <v>8</v>
      </c>
      <c r="B49">
        <v>1</v>
      </c>
      <c r="C49">
        <v>0.44346560002304602</v>
      </c>
    </row>
    <row r="50" spans="1:3">
      <c r="A50" t="s">
        <v>8</v>
      </c>
      <c r="B50">
        <v>1</v>
      </c>
      <c r="C50">
        <v>0.63683580001816098</v>
      </c>
    </row>
    <row r="51" spans="1:3">
      <c r="A51" t="s">
        <v>8</v>
      </c>
      <c r="B51">
        <v>1</v>
      </c>
      <c r="C51">
        <v>0.54233740002382502</v>
      </c>
    </row>
    <row r="52" spans="1:3">
      <c r="A52" t="s">
        <v>6</v>
      </c>
      <c r="B52">
        <v>1</v>
      </c>
      <c r="C52">
        <v>0.41395920002832998</v>
      </c>
    </row>
    <row r="53" spans="1:3">
      <c r="A53" t="s">
        <v>6</v>
      </c>
      <c r="B53">
        <v>1</v>
      </c>
      <c r="C53">
        <v>0.37819959991611501</v>
      </c>
    </row>
    <row r="54" spans="1:3">
      <c r="A54" t="s">
        <v>6</v>
      </c>
      <c r="B54">
        <v>1</v>
      </c>
      <c r="C54">
        <v>0.37951970007270502</v>
      </c>
    </row>
    <row r="55" spans="1:3">
      <c r="A55" t="s">
        <v>8</v>
      </c>
      <c r="B55">
        <v>1</v>
      </c>
      <c r="C55">
        <v>0.57152200001291897</v>
      </c>
    </row>
    <row r="56" spans="1:3">
      <c r="A56" t="s">
        <v>8</v>
      </c>
      <c r="B56">
        <v>1</v>
      </c>
      <c r="C56">
        <v>0.36634159996174198</v>
      </c>
    </row>
    <row r="57" spans="1:3">
      <c r="A57" t="s">
        <v>6</v>
      </c>
      <c r="B57">
        <v>1</v>
      </c>
      <c r="C57">
        <v>0.37135710008442402</v>
      </c>
    </row>
    <row r="58" spans="1:3">
      <c r="A58" t="s">
        <v>6</v>
      </c>
      <c r="B58">
        <v>1</v>
      </c>
      <c r="C58">
        <v>0.36666679999325402</v>
      </c>
    </row>
    <row r="59" spans="1:3">
      <c r="A59" t="s">
        <v>8</v>
      </c>
      <c r="B59">
        <v>1</v>
      </c>
      <c r="C59">
        <v>0.513764100032858</v>
      </c>
    </row>
    <row r="60" spans="1:3">
      <c r="A60" t="s">
        <v>6</v>
      </c>
      <c r="B60">
        <v>1</v>
      </c>
      <c r="C60">
        <v>0.46401110000442702</v>
      </c>
    </row>
    <row r="61" spans="1:3">
      <c r="A61" t="s">
        <v>8</v>
      </c>
      <c r="B61">
        <v>1</v>
      </c>
      <c r="C61">
        <v>0.53360679990146298</v>
      </c>
    </row>
    <row r="62" spans="1:3">
      <c r="A62" t="s">
        <v>6</v>
      </c>
      <c r="B62">
        <v>1</v>
      </c>
      <c r="C62">
        <v>0.50411119998898302</v>
      </c>
    </row>
    <row r="63" spans="1:3">
      <c r="A63" t="s">
        <v>8</v>
      </c>
      <c r="B63">
        <v>1</v>
      </c>
      <c r="C63">
        <v>0.78561780008021698</v>
      </c>
    </row>
    <row r="64" spans="1:3">
      <c r="A64" t="s">
        <v>8</v>
      </c>
      <c r="B64">
        <v>1</v>
      </c>
      <c r="C64">
        <v>0.58243609999772095</v>
      </c>
    </row>
    <row r="65" spans="1:3">
      <c r="A65" t="s">
        <v>6</v>
      </c>
      <c r="B65">
        <v>1</v>
      </c>
      <c r="C65">
        <v>0.52976439998019398</v>
      </c>
    </row>
    <row r="66" spans="1:3">
      <c r="A66" t="s">
        <v>8</v>
      </c>
      <c r="B66">
        <v>1</v>
      </c>
      <c r="C66">
        <v>0.63198659999761697</v>
      </c>
    </row>
    <row r="67" spans="1:3">
      <c r="A67" t="s">
        <v>8</v>
      </c>
      <c r="B67">
        <v>1</v>
      </c>
      <c r="C67">
        <v>0.64673559996299401</v>
      </c>
    </row>
    <row r="68" spans="1:3">
      <c r="A68" t="s">
        <v>6</v>
      </c>
      <c r="B68">
        <v>1</v>
      </c>
      <c r="C68">
        <v>0.52270349999889698</v>
      </c>
    </row>
    <row r="69" spans="1:3">
      <c r="A69" t="s">
        <v>6</v>
      </c>
      <c r="B69">
        <v>1</v>
      </c>
      <c r="C69">
        <v>0.43901370000094098</v>
      </c>
    </row>
    <row r="70" spans="1:3">
      <c r="A70" t="s">
        <v>6</v>
      </c>
      <c r="B70">
        <v>1</v>
      </c>
      <c r="C70">
        <v>0.48921710008289598</v>
      </c>
    </row>
    <row r="71" spans="1:3">
      <c r="A71" t="s">
        <v>6</v>
      </c>
      <c r="B71">
        <v>1</v>
      </c>
      <c r="C71">
        <v>0.39509629993699402</v>
      </c>
    </row>
    <row r="72" spans="1:3" hidden="1">
      <c r="A72" t="s">
        <v>8</v>
      </c>
      <c r="B72">
        <v>0</v>
      </c>
      <c r="C72">
        <v>0.34575919993221699</v>
      </c>
    </row>
    <row r="73" spans="1:3">
      <c r="A73" t="s">
        <v>8</v>
      </c>
      <c r="B73">
        <v>1</v>
      </c>
      <c r="C73">
        <v>1.38286279991734</v>
      </c>
    </row>
    <row r="74" spans="1:3">
      <c r="A74" t="s">
        <v>6</v>
      </c>
      <c r="B74">
        <v>1</v>
      </c>
      <c r="C74">
        <v>0.56888439995236695</v>
      </c>
    </row>
    <row r="75" spans="1:3">
      <c r="A75" t="s">
        <v>8</v>
      </c>
      <c r="B75">
        <v>1</v>
      </c>
      <c r="C75">
        <v>0.59090339997783303</v>
      </c>
    </row>
    <row r="76" spans="1:3">
      <c r="A76" t="s">
        <v>8</v>
      </c>
      <c r="B76">
        <v>1</v>
      </c>
      <c r="C76">
        <v>0.60343260003719401</v>
      </c>
    </row>
    <row r="77" spans="1:3">
      <c r="A77" t="s">
        <v>6</v>
      </c>
      <c r="B77">
        <v>1</v>
      </c>
      <c r="C77">
        <v>0.44655880006030202</v>
      </c>
    </row>
    <row r="78" spans="1:3">
      <c r="A78" t="s">
        <v>8</v>
      </c>
      <c r="B78">
        <v>1</v>
      </c>
      <c r="C78">
        <v>0.63537200004793704</v>
      </c>
    </row>
    <row r="79" spans="1:3">
      <c r="A79" t="s">
        <v>8</v>
      </c>
      <c r="B79">
        <v>1</v>
      </c>
      <c r="C79">
        <v>0.82008550001773906</v>
      </c>
    </row>
    <row r="80" spans="1:3">
      <c r="A80" t="s">
        <v>6</v>
      </c>
      <c r="B80">
        <v>1</v>
      </c>
      <c r="C80">
        <v>0.60589110001455904</v>
      </c>
    </row>
    <row r="81" spans="1:3">
      <c r="A81" t="s">
        <v>6</v>
      </c>
      <c r="B81">
        <v>1</v>
      </c>
      <c r="C81">
        <v>0.65140009997412496</v>
      </c>
    </row>
    <row r="82" spans="1:3" hidden="1"/>
  </sheetData>
  <autoFilter ref="B1:B82" xr:uid="{B2163434-55C8-40C7-AFA2-8B84D1901F2B}">
    <filterColumn colId="0">
      <filters>
        <filter val="1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9618F-12FF-4BCE-A217-7743407B44A8}">
  <sheetPr filterMode="1"/>
  <dimension ref="A1:H82"/>
  <sheetViews>
    <sheetView workbookViewId="0">
      <selection activeCell="G2" sqref="G2"/>
    </sheetView>
  </sheetViews>
  <sheetFormatPr defaultRowHeight="15"/>
  <cols>
    <col min="1" max="1" width="11.140625" bestFit="1" customWidth="1"/>
    <col min="2" max="2" width="12.85546875" bestFit="1" customWidth="1"/>
    <col min="3" max="3" width="10.7109375" bestFit="1" customWidth="1"/>
    <col min="6" max="6" width="26.7109375" customWidth="1"/>
    <col min="7" max="8" width="19.42578125" customWidth="1"/>
  </cols>
  <sheetData>
    <row r="1" spans="1:8">
      <c r="A1" s="1" t="s">
        <v>0</v>
      </c>
      <c r="B1" s="1" t="s">
        <v>1</v>
      </c>
      <c r="C1" s="1" t="s">
        <v>2</v>
      </c>
      <c r="F1" s="5" t="s">
        <v>3</v>
      </c>
      <c r="G1" s="5" t="s">
        <v>4</v>
      </c>
      <c r="H1" s="5" t="s">
        <v>5</v>
      </c>
    </row>
    <row r="2" spans="1:8">
      <c r="A2" t="s">
        <v>8</v>
      </c>
      <c r="B2">
        <v>1</v>
      </c>
      <c r="C2">
        <v>1.0401530000381101</v>
      </c>
      <c r="F2" t="s">
        <v>7</v>
      </c>
      <c r="G2" s="2">
        <f>AVERAGEIFS(C:C, A:A, "congruent", B:B, 1)</f>
        <v>0.5731754924985577</v>
      </c>
      <c r="H2" s="2">
        <f>AVERAGEIFS(C:C, A:A, "incongruent", B:B, 1)</f>
        <v>1.0162277897246741</v>
      </c>
    </row>
    <row r="3" spans="1:8" ht="29.25">
      <c r="A3" t="s">
        <v>8</v>
      </c>
      <c r="B3">
        <v>1</v>
      </c>
      <c r="C3">
        <v>1.0966096000047401</v>
      </c>
      <c r="F3" s="4" t="s">
        <v>9</v>
      </c>
      <c r="G3" s="3">
        <f>AVERAGEIF(A:A, "congruent", B:B)*100</f>
        <v>100</v>
      </c>
      <c r="H3" s="3">
        <f>AVERAGEIF(A:A, "incongruent", B:B)*100</f>
        <v>97.5</v>
      </c>
    </row>
    <row r="4" spans="1:8">
      <c r="A4" t="s">
        <v>6</v>
      </c>
      <c r="B4">
        <v>1</v>
      </c>
      <c r="C4">
        <v>0.58576599997468204</v>
      </c>
    </row>
    <row r="5" spans="1:8">
      <c r="A5" t="s">
        <v>6</v>
      </c>
      <c r="B5">
        <v>1</v>
      </c>
      <c r="C5">
        <v>0.36836530000437001</v>
      </c>
    </row>
    <row r="6" spans="1:8">
      <c r="A6" t="s">
        <v>8</v>
      </c>
      <c r="B6">
        <v>1</v>
      </c>
      <c r="C6">
        <v>0.88897480000741702</v>
      </c>
    </row>
    <row r="7" spans="1:8">
      <c r="A7" t="s">
        <v>8</v>
      </c>
      <c r="B7">
        <v>1</v>
      </c>
      <c r="C7">
        <v>0.69756779994349905</v>
      </c>
    </row>
    <row r="8" spans="1:8">
      <c r="A8" t="s">
        <v>6</v>
      </c>
      <c r="B8">
        <v>1</v>
      </c>
      <c r="C8">
        <v>0.401978999958373</v>
      </c>
    </row>
    <row r="9" spans="1:8">
      <c r="A9" t="s">
        <v>6</v>
      </c>
      <c r="B9">
        <v>1</v>
      </c>
      <c r="C9">
        <v>0.45809960004407901</v>
      </c>
    </row>
    <row r="10" spans="1:8">
      <c r="A10" t="s">
        <v>6</v>
      </c>
      <c r="B10">
        <v>1</v>
      </c>
      <c r="C10">
        <v>0.60787890001665801</v>
      </c>
    </row>
    <row r="11" spans="1:8">
      <c r="A11" t="s">
        <v>8</v>
      </c>
      <c r="B11">
        <v>1</v>
      </c>
      <c r="C11">
        <v>1.5244946999009601</v>
      </c>
    </row>
    <row r="12" spans="1:8">
      <c r="A12" t="s">
        <v>8</v>
      </c>
      <c r="B12">
        <v>1</v>
      </c>
      <c r="C12">
        <v>0.642192900064401</v>
      </c>
    </row>
    <row r="13" spans="1:8">
      <c r="A13" t="s">
        <v>6</v>
      </c>
      <c r="B13">
        <v>1</v>
      </c>
      <c r="C13">
        <v>2.40687579999212</v>
      </c>
    </row>
    <row r="14" spans="1:8">
      <c r="A14" t="s">
        <v>6</v>
      </c>
      <c r="B14">
        <v>1</v>
      </c>
      <c r="C14">
        <v>0.35562339995522002</v>
      </c>
    </row>
    <row r="15" spans="1:8">
      <c r="A15" t="s">
        <v>8</v>
      </c>
      <c r="B15">
        <v>1</v>
      </c>
      <c r="C15">
        <v>0.81921129999682296</v>
      </c>
    </row>
    <row r="16" spans="1:8">
      <c r="A16" t="s">
        <v>6</v>
      </c>
      <c r="B16">
        <v>1</v>
      </c>
      <c r="C16">
        <v>0.37182770005892901</v>
      </c>
    </row>
    <row r="17" spans="1:3">
      <c r="A17" t="s">
        <v>8</v>
      </c>
      <c r="B17">
        <v>1</v>
      </c>
      <c r="C17">
        <v>2.17505309998523</v>
      </c>
    </row>
    <row r="18" spans="1:3">
      <c r="A18" t="s">
        <v>8</v>
      </c>
      <c r="B18">
        <v>1</v>
      </c>
      <c r="C18">
        <v>0.90015880006831095</v>
      </c>
    </row>
    <row r="19" spans="1:3">
      <c r="A19" t="s">
        <v>6</v>
      </c>
      <c r="B19">
        <v>1</v>
      </c>
      <c r="C19">
        <v>0.62654740002471898</v>
      </c>
    </row>
    <row r="20" spans="1:3">
      <c r="A20" t="s">
        <v>8</v>
      </c>
      <c r="B20">
        <v>1</v>
      </c>
      <c r="C20">
        <v>0.69311210000887502</v>
      </c>
    </row>
    <row r="21" spans="1:3">
      <c r="A21" t="s">
        <v>6</v>
      </c>
      <c r="B21">
        <v>1</v>
      </c>
      <c r="C21">
        <v>0.67281809996347797</v>
      </c>
    </row>
    <row r="22" spans="1:3">
      <c r="A22" t="s">
        <v>8</v>
      </c>
      <c r="B22">
        <v>1</v>
      </c>
      <c r="C22">
        <v>0.53944419999606896</v>
      </c>
    </row>
    <row r="23" spans="1:3">
      <c r="A23" t="s">
        <v>8</v>
      </c>
      <c r="B23">
        <v>1</v>
      </c>
      <c r="C23">
        <v>0.64528009993955404</v>
      </c>
    </row>
    <row r="24" spans="1:3">
      <c r="A24" t="s">
        <v>6</v>
      </c>
      <c r="B24">
        <v>1</v>
      </c>
      <c r="C24">
        <v>0.69891319994348999</v>
      </c>
    </row>
    <row r="25" spans="1:3">
      <c r="A25" t="s">
        <v>6</v>
      </c>
      <c r="B25">
        <v>1</v>
      </c>
      <c r="C25">
        <v>0.51850020000710995</v>
      </c>
    </row>
    <row r="26" spans="1:3">
      <c r="A26" t="s">
        <v>6</v>
      </c>
      <c r="B26">
        <v>1</v>
      </c>
      <c r="C26">
        <v>0.50143790000583899</v>
      </c>
    </row>
    <row r="27" spans="1:3">
      <c r="A27" t="s">
        <v>6</v>
      </c>
      <c r="B27">
        <v>1</v>
      </c>
      <c r="C27">
        <v>0.52959119994193304</v>
      </c>
    </row>
    <row r="28" spans="1:3">
      <c r="A28" t="s">
        <v>8</v>
      </c>
      <c r="B28">
        <v>1</v>
      </c>
      <c r="C28">
        <v>0.95945940003730301</v>
      </c>
    </row>
    <row r="29" spans="1:3">
      <c r="A29" t="s">
        <v>8</v>
      </c>
      <c r="B29">
        <v>1</v>
      </c>
      <c r="C29">
        <v>0.67234779999125704</v>
      </c>
    </row>
    <row r="30" spans="1:3">
      <c r="A30" t="s">
        <v>8</v>
      </c>
      <c r="B30">
        <v>1</v>
      </c>
      <c r="C30">
        <v>0.490247200010344</v>
      </c>
    </row>
    <row r="31" spans="1:3">
      <c r="A31" t="s">
        <v>8</v>
      </c>
      <c r="B31">
        <v>1</v>
      </c>
      <c r="C31">
        <v>1.08937499998137</v>
      </c>
    </row>
    <row r="32" spans="1:3">
      <c r="A32" t="s">
        <v>6</v>
      </c>
      <c r="B32">
        <v>1</v>
      </c>
      <c r="C32">
        <v>0.62255390000063904</v>
      </c>
    </row>
    <row r="33" spans="1:3">
      <c r="A33" t="s">
        <v>6</v>
      </c>
      <c r="B33">
        <v>1</v>
      </c>
      <c r="C33">
        <v>0.36906000005546902</v>
      </c>
    </row>
    <row r="34" spans="1:3">
      <c r="A34" t="s">
        <v>8</v>
      </c>
      <c r="B34">
        <v>1</v>
      </c>
      <c r="C34">
        <v>0.53478280000854195</v>
      </c>
    </row>
    <row r="35" spans="1:3">
      <c r="A35" t="s">
        <v>6</v>
      </c>
      <c r="B35">
        <v>1</v>
      </c>
      <c r="C35">
        <v>0.55120969994459301</v>
      </c>
    </row>
    <row r="36" spans="1:3">
      <c r="A36" t="s">
        <v>6</v>
      </c>
      <c r="B36">
        <v>1</v>
      </c>
      <c r="C36">
        <v>0.65815210004802704</v>
      </c>
    </row>
    <row r="37" spans="1:3">
      <c r="A37" t="s">
        <v>8</v>
      </c>
      <c r="B37">
        <v>1</v>
      </c>
      <c r="C37">
        <v>1.56234379997476</v>
      </c>
    </row>
    <row r="38" spans="1:3">
      <c r="A38" t="s">
        <v>8</v>
      </c>
      <c r="B38">
        <v>1</v>
      </c>
      <c r="C38">
        <v>2.2211889999452898</v>
      </c>
    </row>
    <row r="39" spans="1:3">
      <c r="A39" t="s">
        <v>6</v>
      </c>
      <c r="B39">
        <v>1</v>
      </c>
      <c r="C39">
        <v>0.48616200010292199</v>
      </c>
    </row>
    <row r="40" spans="1:3">
      <c r="A40" t="s">
        <v>6</v>
      </c>
      <c r="B40">
        <v>1</v>
      </c>
      <c r="C40">
        <v>0.32535900000948398</v>
      </c>
    </row>
    <row r="41" spans="1:3" hidden="1">
      <c r="A41" t="s">
        <v>8</v>
      </c>
      <c r="B41">
        <v>0</v>
      </c>
      <c r="C41">
        <v>0.45308730006217901</v>
      </c>
    </row>
    <row r="42" spans="1:3">
      <c r="A42" t="s">
        <v>6</v>
      </c>
      <c r="B42">
        <v>1</v>
      </c>
      <c r="C42">
        <v>0.55678789992816702</v>
      </c>
    </row>
    <row r="43" spans="1:3">
      <c r="A43" t="s">
        <v>8</v>
      </c>
      <c r="B43">
        <v>1</v>
      </c>
      <c r="C43">
        <v>0.80228730000089798</v>
      </c>
    </row>
    <row r="44" spans="1:3">
      <c r="A44" t="s">
        <v>8</v>
      </c>
      <c r="B44">
        <v>1</v>
      </c>
      <c r="C44">
        <v>0.88359019998460997</v>
      </c>
    </row>
    <row r="45" spans="1:3">
      <c r="A45" t="s">
        <v>6</v>
      </c>
      <c r="B45">
        <v>1</v>
      </c>
      <c r="C45">
        <v>0.38516920001711602</v>
      </c>
    </row>
    <row r="46" spans="1:3">
      <c r="A46" t="s">
        <v>6</v>
      </c>
      <c r="B46">
        <v>1</v>
      </c>
      <c r="C46">
        <v>0.46961440006270999</v>
      </c>
    </row>
    <row r="47" spans="1:3">
      <c r="A47" t="s">
        <v>8</v>
      </c>
      <c r="B47">
        <v>1</v>
      </c>
      <c r="C47">
        <v>1.3803243999136601</v>
      </c>
    </row>
    <row r="48" spans="1:3">
      <c r="A48" t="s">
        <v>6</v>
      </c>
      <c r="B48">
        <v>1</v>
      </c>
      <c r="C48">
        <v>0.62297379993833601</v>
      </c>
    </row>
    <row r="49" spans="1:3">
      <c r="A49" t="s">
        <v>8</v>
      </c>
      <c r="B49">
        <v>1</v>
      </c>
      <c r="C49">
        <v>0.85802409995812901</v>
      </c>
    </row>
    <row r="50" spans="1:3">
      <c r="A50" t="s">
        <v>6</v>
      </c>
      <c r="B50">
        <v>1</v>
      </c>
      <c r="C50">
        <v>0.54961360001470805</v>
      </c>
    </row>
    <row r="51" spans="1:3">
      <c r="A51" t="s">
        <v>8</v>
      </c>
      <c r="B51">
        <v>1</v>
      </c>
      <c r="C51">
        <v>0.598048499901779</v>
      </c>
    </row>
    <row r="52" spans="1:3">
      <c r="A52" t="s">
        <v>8</v>
      </c>
      <c r="B52">
        <v>1</v>
      </c>
      <c r="C52">
        <v>0.83694059995468695</v>
      </c>
    </row>
    <row r="53" spans="1:3">
      <c r="A53" t="s">
        <v>6</v>
      </c>
      <c r="B53">
        <v>1</v>
      </c>
      <c r="C53">
        <v>0.63121479994151697</v>
      </c>
    </row>
    <row r="54" spans="1:3">
      <c r="A54" t="s">
        <v>8</v>
      </c>
      <c r="B54">
        <v>1</v>
      </c>
      <c r="C54">
        <v>0.68505109997931801</v>
      </c>
    </row>
    <row r="55" spans="1:3">
      <c r="A55" t="s">
        <v>6</v>
      </c>
      <c r="B55">
        <v>1</v>
      </c>
      <c r="C55">
        <v>0.71452309994492602</v>
      </c>
    </row>
    <row r="56" spans="1:3">
      <c r="A56" t="s">
        <v>6</v>
      </c>
      <c r="B56">
        <v>1</v>
      </c>
      <c r="C56">
        <v>0.585213000071235</v>
      </c>
    </row>
    <row r="57" spans="1:3">
      <c r="A57" t="s">
        <v>8</v>
      </c>
      <c r="B57">
        <v>1</v>
      </c>
      <c r="C57">
        <v>0.55796009988989603</v>
      </c>
    </row>
    <row r="58" spans="1:3">
      <c r="A58" t="s">
        <v>6</v>
      </c>
      <c r="B58">
        <v>1</v>
      </c>
      <c r="C58">
        <v>0.52696419996209398</v>
      </c>
    </row>
    <row r="59" spans="1:3">
      <c r="A59" t="s">
        <v>6</v>
      </c>
      <c r="B59">
        <v>1</v>
      </c>
      <c r="C59">
        <v>0.62539890001062304</v>
      </c>
    </row>
    <row r="60" spans="1:3">
      <c r="A60" t="s">
        <v>8</v>
      </c>
      <c r="B60">
        <v>1</v>
      </c>
      <c r="C60">
        <v>1.0748010999523101</v>
      </c>
    </row>
    <row r="61" spans="1:3">
      <c r="A61" t="s">
        <v>8</v>
      </c>
      <c r="B61">
        <v>1</v>
      </c>
      <c r="C61">
        <v>1.31776040000841</v>
      </c>
    </row>
    <row r="62" spans="1:3">
      <c r="A62" t="s">
        <v>8</v>
      </c>
      <c r="B62">
        <v>1</v>
      </c>
      <c r="C62">
        <v>0.96662839991040495</v>
      </c>
    </row>
    <row r="63" spans="1:3">
      <c r="A63" t="s">
        <v>6</v>
      </c>
      <c r="B63">
        <v>1</v>
      </c>
      <c r="C63">
        <v>0.63915699999779396</v>
      </c>
    </row>
    <row r="64" spans="1:3">
      <c r="A64" t="s">
        <v>8</v>
      </c>
      <c r="B64">
        <v>1</v>
      </c>
      <c r="C64">
        <v>0.92378369998186805</v>
      </c>
    </row>
    <row r="65" spans="1:3">
      <c r="A65" t="s">
        <v>6</v>
      </c>
      <c r="B65">
        <v>1</v>
      </c>
      <c r="C65">
        <v>0.62589040002785601</v>
      </c>
    </row>
    <row r="66" spans="1:3">
      <c r="A66" t="s">
        <v>6</v>
      </c>
      <c r="B66">
        <v>1</v>
      </c>
      <c r="C66">
        <v>0.39008250006008799</v>
      </c>
    </row>
    <row r="67" spans="1:3">
      <c r="A67" t="s">
        <v>8</v>
      </c>
      <c r="B67">
        <v>1</v>
      </c>
      <c r="C67">
        <v>0.95609469991177298</v>
      </c>
    </row>
    <row r="68" spans="1:3">
      <c r="A68" t="s">
        <v>6</v>
      </c>
      <c r="B68">
        <v>1</v>
      </c>
      <c r="C68">
        <v>0.45425640000030398</v>
      </c>
    </row>
    <row r="69" spans="1:3">
      <c r="A69" t="s">
        <v>8</v>
      </c>
      <c r="B69">
        <v>1</v>
      </c>
      <c r="C69">
        <v>0.84502909996081099</v>
      </c>
    </row>
    <row r="70" spans="1:3">
      <c r="A70" t="s">
        <v>8</v>
      </c>
      <c r="B70">
        <v>1</v>
      </c>
      <c r="C70">
        <v>0.54909460002090704</v>
      </c>
    </row>
    <row r="71" spans="1:3">
      <c r="A71" t="s">
        <v>6</v>
      </c>
      <c r="B71">
        <v>1</v>
      </c>
      <c r="C71">
        <v>0.61007739999331501</v>
      </c>
    </row>
    <row r="72" spans="1:3">
      <c r="A72" t="s">
        <v>8</v>
      </c>
      <c r="B72">
        <v>1</v>
      </c>
      <c r="C72">
        <v>0.869817700004205</v>
      </c>
    </row>
    <row r="73" spans="1:3">
      <c r="A73" t="s">
        <v>6</v>
      </c>
      <c r="B73">
        <v>1</v>
      </c>
      <c r="C73">
        <v>0.609191600000485</v>
      </c>
    </row>
    <row r="74" spans="1:3">
      <c r="A74" t="s">
        <v>6</v>
      </c>
      <c r="B74">
        <v>1</v>
      </c>
      <c r="C74">
        <v>0.524868899956345</v>
      </c>
    </row>
    <row r="75" spans="1:3">
      <c r="A75" t="s">
        <v>8</v>
      </c>
      <c r="B75">
        <v>1</v>
      </c>
      <c r="C75">
        <v>1.25434440001845</v>
      </c>
    </row>
    <row r="76" spans="1:3">
      <c r="A76" t="s">
        <v>8</v>
      </c>
      <c r="B76">
        <v>1</v>
      </c>
      <c r="C76">
        <v>3.0703319000313001</v>
      </c>
    </row>
    <row r="77" spans="1:3">
      <c r="A77" t="s">
        <v>6</v>
      </c>
      <c r="B77">
        <v>1</v>
      </c>
      <c r="C77">
        <v>0.41039299999829298</v>
      </c>
    </row>
    <row r="78" spans="1:3">
      <c r="A78" t="s">
        <v>6</v>
      </c>
      <c r="B78">
        <v>1</v>
      </c>
      <c r="C78">
        <v>0.30178480001632102</v>
      </c>
    </row>
    <row r="79" spans="1:3">
      <c r="A79" t="s">
        <v>8</v>
      </c>
      <c r="B79">
        <v>1</v>
      </c>
      <c r="C79">
        <v>1.21517940005287</v>
      </c>
    </row>
    <row r="80" spans="1:3">
      <c r="A80" t="s">
        <v>8</v>
      </c>
      <c r="B80">
        <v>1</v>
      </c>
      <c r="C80">
        <v>0.79579469992313501</v>
      </c>
    </row>
    <row r="81" spans="1:3">
      <c r="A81" t="s">
        <v>6</v>
      </c>
      <c r="B81">
        <v>1</v>
      </c>
      <c r="C81">
        <v>0.57712439994793296</v>
      </c>
    </row>
    <row r="82" spans="1:3" hidden="1"/>
  </sheetData>
  <autoFilter ref="B1:B82" xr:uid="{5A69618F-12FF-4BCE-A217-7743407B44A8}">
    <filterColumn colId="0">
      <filters>
        <filter val="1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DC8F0-5E7F-4D1A-89CF-12A973A9BF94}">
  <sheetPr filterMode="1"/>
  <dimension ref="A1:H82"/>
  <sheetViews>
    <sheetView workbookViewId="0">
      <selection activeCell="F1" sqref="F1:H3"/>
    </sheetView>
  </sheetViews>
  <sheetFormatPr defaultRowHeight="15"/>
  <cols>
    <col min="1" max="1" width="11.140625" bestFit="1" customWidth="1"/>
    <col min="2" max="2" width="12.42578125" bestFit="1" customWidth="1"/>
    <col min="3" max="3" width="10.28515625" bestFit="1" customWidth="1"/>
    <col min="6" max="6" width="15.140625" customWidth="1"/>
    <col min="7" max="7" width="18.5703125" customWidth="1"/>
    <col min="8" max="8" width="19.7109375" customWidth="1"/>
  </cols>
  <sheetData>
    <row r="1" spans="1:8">
      <c r="A1" s="1" t="s">
        <v>0</v>
      </c>
      <c r="B1" s="1" t="s">
        <v>1</v>
      </c>
      <c r="C1" s="1" t="s">
        <v>2</v>
      </c>
      <c r="F1" s="5" t="s">
        <v>3</v>
      </c>
      <c r="G1" s="5" t="s">
        <v>4</v>
      </c>
      <c r="H1" s="5" t="s">
        <v>5</v>
      </c>
    </row>
    <row r="2" spans="1:8">
      <c r="A2" t="s">
        <v>6</v>
      </c>
      <c r="B2">
        <v>1</v>
      </c>
      <c r="C2">
        <v>1.01814529998227</v>
      </c>
      <c r="F2" t="s">
        <v>7</v>
      </c>
      <c r="G2" s="2">
        <f>AVERAGEIFS(C:C, A:A, "congruent", B:B, 1)</f>
        <v>0.61440213750465722</v>
      </c>
      <c r="H2" s="2">
        <f>AVERAGEIFS(C:C, A:A, "incongruent", B:B, 1)</f>
        <v>1.147164592096628</v>
      </c>
    </row>
    <row r="3" spans="1:8" ht="29.25">
      <c r="A3" t="s">
        <v>8</v>
      </c>
      <c r="B3">
        <v>1</v>
      </c>
      <c r="C3">
        <v>1.85579350008629</v>
      </c>
      <c r="F3" s="4" t="s">
        <v>9</v>
      </c>
      <c r="G3" s="3">
        <f>AVERAGEIF(A:A, "congruent", B:B)*100</f>
        <v>100</v>
      </c>
      <c r="H3" s="3">
        <f>AVERAGEIF(A:A, "incongruent", B:B)*100</f>
        <v>95</v>
      </c>
    </row>
    <row r="4" spans="1:8">
      <c r="A4" t="s">
        <v>6</v>
      </c>
      <c r="B4">
        <v>1</v>
      </c>
      <c r="C4">
        <v>0.60001850011758495</v>
      </c>
    </row>
    <row r="5" spans="1:8">
      <c r="A5" t="s">
        <v>8</v>
      </c>
      <c r="B5">
        <v>1</v>
      </c>
      <c r="C5">
        <v>1.3662592000328</v>
      </c>
    </row>
    <row r="6" spans="1:8">
      <c r="A6" t="s">
        <v>8</v>
      </c>
      <c r="B6">
        <v>1</v>
      </c>
      <c r="C6">
        <v>1.25488459994085</v>
      </c>
    </row>
    <row r="7" spans="1:8">
      <c r="A7" t="s">
        <v>6</v>
      </c>
      <c r="B7">
        <v>1</v>
      </c>
      <c r="C7">
        <v>0.64397899992763996</v>
      </c>
    </row>
    <row r="8" spans="1:8">
      <c r="A8" t="s">
        <v>6</v>
      </c>
      <c r="B8">
        <v>1</v>
      </c>
      <c r="C8">
        <v>0.72300220001488902</v>
      </c>
    </row>
    <row r="9" spans="1:8">
      <c r="A9" t="s">
        <v>8</v>
      </c>
      <c r="B9">
        <v>1</v>
      </c>
      <c r="C9">
        <v>0.88722170004621104</v>
      </c>
    </row>
    <row r="10" spans="1:8">
      <c r="A10" t="s">
        <v>6</v>
      </c>
      <c r="B10">
        <v>1</v>
      </c>
      <c r="C10">
        <v>0.69886169978417401</v>
      </c>
    </row>
    <row r="11" spans="1:8">
      <c r="A11" t="s">
        <v>6</v>
      </c>
      <c r="B11">
        <v>1</v>
      </c>
      <c r="C11">
        <v>0.58638520003296402</v>
      </c>
    </row>
    <row r="12" spans="1:8">
      <c r="A12" t="s">
        <v>8</v>
      </c>
      <c r="B12">
        <v>1</v>
      </c>
      <c r="C12">
        <v>1.13303839997388</v>
      </c>
    </row>
    <row r="13" spans="1:8">
      <c r="A13" t="s">
        <v>8</v>
      </c>
      <c r="B13">
        <v>1</v>
      </c>
      <c r="C13">
        <v>1.47248830017633</v>
      </c>
    </row>
    <row r="14" spans="1:8">
      <c r="A14" t="s">
        <v>8</v>
      </c>
      <c r="B14">
        <v>1</v>
      </c>
      <c r="C14">
        <v>1.2476709999609701</v>
      </c>
    </row>
    <row r="15" spans="1:8">
      <c r="A15" t="s">
        <v>8</v>
      </c>
      <c r="B15">
        <v>1</v>
      </c>
      <c r="C15">
        <v>0.88710440020076897</v>
      </c>
    </row>
    <row r="16" spans="1:8">
      <c r="A16" t="s">
        <v>6</v>
      </c>
      <c r="B16">
        <v>1</v>
      </c>
      <c r="C16">
        <v>0.47792259999550801</v>
      </c>
    </row>
    <row r="17" spans="1:3">
      <c r="A17" t="s">
        <v>6</v>
      </c>
      <c r="B17">
        <v>1</v>
      </c>
      <c r="C17">
        <v>0.32119130017235797</v>
      </c>
    </row>
    <row r="18" spans="1:3">
      <c r="A18" t="s">
        <v>6</v>
      </c>
      <c r="B18">
        <v>1</v>
      </c>
      <c r="C18">
        <v>0.54528590012341704</v>
      </c>
    </row>
    <row r="19" spans="1:3">
      <c r="A19" t="s">
        <v>6</v>
      </c>
      <c r="B19">
        <v>1</v>
      </c>
      <c r="C19">
        <v>0.39475099998526197</v>
      </c>
    </row>
    <row r="20" spans="1:3">
      <c r="A20" t="s">
        <v>8</v>
      </c>
      <c r="B20">
        <v>1</v>
      </c>
      <c r="C20">
        <v>1.21655209991149</v>
      </c>
    </row>
    <row r="21" spans="1:3">
      <c r="A21" t="s">
        <v>8</v>
      </c>
      <c r="B21">
        <v>1</v>
      </c>
      <c r="C21">
        <v>0.65225399984046795</v>
      </c>
    </row>
    <row r="22" spans="1:3">
      <c r="A22" t="s">
        <v>8</v>
      </c>
      <c r="B22">
        <v>1</v>
      </c>
      <c r="C22">
        <v>0.83362199994735398</v>
      </c>
    </row>
    <row r="23" spans="1:3">
      <c r="A23" t="s">
        <v>6</v>
      </c>
      <c r="B23">
        <v>1</v>
      </c>
      <c r="C23">
        <v>0.66043140017427504</v>
      </c>
    </row>
    <row r="24" spans="1:3">
      <c r="A24" t="s">
        <v>8</v>
      </c>
      <c r="B24">
        <v>1</v>
      </c>
      <c r="C24">
        <v>0.83423170004971303</v>
      </c>
    </row>
    <row r="25" spans="1:3">
      <c r="A25" t="s">
        <v>6</v>
      </c>
      <c r="B25">
        <v>1</v>
      </c>
      <c r="C25">
        <v>0.630595699883997</v>
      </c>
    </row>
    <row r="26" spans="1:3">
      <c r="A26" t="s">
        <v>6</v>
      </c>
      <c r="B26">
        <v>1</v>
      </c>
      <c r="C26">
        <v>0.54285610001534201</v>
      </c>
    </row>
    <row r="27" spans="1:3">
      <c r="A27" t="s">
        <v>8</v>
      </c>
      <c r="B27">
        <v>1</v>
      </c>
      <c r="C27">
        <v>0.54486209992319301</v>
      </c>
    </row>
    <row r="28" spans="1:3">
      <c r="A28" t="s">
        <v>6</v>
      </c>
      <c r="B28">
        <v>1</v>
      </c>
      <c r="C28">
        <v>1.49947949987836</v>
      </c>
    </row>
    <row r="29" spans="1:3">
      <c r="A29" t="s">
        <v>8</v>
      </c>
      <c r="B29">
        <v>1</v>
      </c>
      <c r="C29">
        <v>0.91766300005838197</v>
      </c>
    </row>
    <row r="30" spans="1:3">
      <c r="A30" t="s">
        <v>6</v>
      </c>
      <c r="B30">
        <v>1</v>
      </c>
      <c r="C30">
        <v>0.45005230000242502</v>
      </c>
    </row>
    <row r="31" spans="1:3">
      <c r="A31" t="s">
        <v>8</v>
      </c>
      <c r="B31">
        <v>1</v>
      </c>
      <c r="C31">
        <v>0.66709270002320398</v>
      </c>
    </row>
    <row r="32" spans="1:3">
      <c r="A32" t="s">
        <v>8</v>
      </c>
      <c r="B32">
        <v>1</v>
      </c>
      <c r="C32">
        <v>0.63192489999346402</v>
      </c>
    </row>
    <row r="33" spans="1:3">
      <c r="A33" t="s">
        <v>6</v>
      </c>
      <c r="B33">
        <v>1</v>
      </c>
      <c r="C33">
        <v>0.53462809999473304</v>
      </c>
    </row>
    <row r="34" spans="1:3">
      <c r="A34" t="s">
        <v>6</v>
      </c>
      <c r="B34">
        <v>1</v>
      </c>
      <c r="C34">
        <v>0.69092379999346998</v>
      </c>
    </row>
    <row r="35" spans="1:3">
      <c r="A35" t="s">
        <v>6</v>
      </c>
      <c r="B35">
        <v>1</v>
      </c>
      <c r="C35">
        <v>0.81068130000494398</v>
      </c>
    </row>
    <row r="36" spans="1:3">
      <c r="A36" t="s">
        <v>8</v>
      </c>
      <c r="B36">
        <v>1</v>
      </c>
      <c r="C36">
        <v>2.0685660999733901</v>
      </c>
    </row>
    <row r="37" spans="1:3">
      <c r="A37" t="s">
        <v>8</v>
      </c>
      <c r="B37">
        <v>1</v>
      </c>
      <c r="C37">
        <v>1.05123680015094</v>
      </c>
    </row>
    <row r="38" spans="1:3">
      <c r="A38" t="s">
        <v>8</v>
      </c>
      <c r="B38">
        <v>1</v>
      </c>
      <c r="C38">
        <v>1.51865400001406</v>
      </c>
    </row>
    <row r="39" spans="1:3">
      <c r="A39" t="s">
        <v>8</v>
      </c>
      <c r="B39">
        <v>1</v>
      </c>
      <c r="C39">
        <v>0.91952560003846795</v>
      </c>
    </row>
    <row r="40" spans="1:3">
      <c r="A40" t="s">
        <v>6</v>
      </c>
      <c r="B40">
        <v>1</v>
      </c>
      <c r="C40">
        <v>0.60258259996771801</v>
      </c>
    </row>
    <row r="41" spans="1:3">
      <c r="A41" t="s">
        <v>6</v>
      </c>
      <c r="B41">
        <v>1</v>
      </c>
      <c r="C41">
        <v>1.28341810009442</v>
      </c>
    </row>
    <row r="42" spans="1:3">
      <c r="A42" t="s">
        <v>8</v>
      </c>
      <c r="B42">
        <v>1</v>
      </c>
      <c r="C42">
        <v>1.2153356000780999</v>
      </c>
    </row>
    <row r="43" spans="1:3">
      <c r="A43" t="s">
        <v>6</v>
      </c>
      <c r="B43">
        <v>1</v>
      </c>
      <c r="C43">
        <v>0.42336030001752001</v>
      </c>
    </row>
    <row r="44" spans="1:3">
      <c r="A44" t="s">
        <v>8</v>
      </c>
      <c r="B44">
        <v>1</v>
      </c>
      <c r="C44">
        <v>1.5996779999695701</v>
      </c>
    </row>
    <row r="45" spans="1:3">
      <c r="A45" t="s">
        <v>6</v>
      </c>
      <c r="B45">
        <v>1</v>
      </c>
      <c r="C45">
        <v>0.57399940001778305</v>
      </c>
    </row>
    <row r="46" spans="1:3">
      <c r="A46" t="s">
        <v>6</v>
      </c>
      <c r="B46">
        <v>1</v>
      </c>
      <c r="C46">
        <v>0.52069880021736004</v>
      </c>
    </row>
    <row r="47" spans="1:3">
      <c r="A47" t="s">
        <v>8</v>
      </c>
      <c r="B47">
        <v>1</v>
      </c>
      <c r="C47">
        <v>1.70348110003396</v>
      </c>
    </row>
    <row r="48" spans="1:3">
      <c r="A48" t="s">
        <v>6</v>
      </c>
      <c r="B48">
        <v>1</v>
      </c>
      <c r="C48">
        <v>0.66730890003964305</v>
      </c>
    </row>
    <row r="49" spans="1:3">
      <c r="A49" t="s">
        <v>8</v>
      </c>
      <c r="B49">
        <v>1</v>
      </c>
      <c r="C49">
        <v>0.86016939999535602</v>
      </c>
    </row>
    <row r="50" spans="1:3">
      <c r="A50" t="s">
        <v>6</v>
      </c>
      <c r="B50">
        <v>1</v>
      </c>
      <c r="C50">
        <v>0.53576530003920197</v>
      </c>
    </row>
    <row r="51" spans="1:3">
      <c r="A51" t="s">
        <v>8</v>
      </c>
      <c r="B51">
        <v>1</v>
      </c>
      <c r="C51">
        <v>1.43699059984646</v>
      </c>
    </row>
    <row r="52" spans="1:3">
      <c r="A52" t="s">
        <v>6</v>
      </c>
      <c r="B52">
        <v>1</v>
      </c>
      <c r="C52">
        <v>0.55478050000965595</v>
      </c>
    </row>
    <row r="53" spans="1:3">
      <c r="A53" t="s">
        <v>8</v>
      </c>
      <c r="B53">
        <v>1</v>
      </c>
      <c r="C53">
        <v>1.8153834000695399</v>
      </c>
    </row>
    <row r="54" spans="1:3">
      <c r="A54" t="s">
        <v>8</v>
      </c>
      <c r="B54">
        <v>1</v>
      </c>
      <c r="C54">
        <v>1.3136005999986</v>
      </c>
    </row>
    <row r="55" spans="1:3">
      <c r="A55" t="s">
        <v>8</v>
      </c>
      <c r="B55">
        <v>1</v>
      </c>
      <c r="C55">
        <v>0.83936979994177796</v>
      </c>
    </row>
    <row r="56" spans="1:3">
      <c r="A56" t="s">
        <v>6</v>
      </c>
      <c r="B56">
        <v>1</v>
      </c>
      <c r="C56">
        <v>0.72462320001795799</v>
      </c>
    </row>
    <row r="57" spans="1:3">
      <c r="A57" t="s">
        <v>6</v>
      </c>
      <c r="B57">
        <v>1</v>
      </c>
      <c r="C57">
        <v>0.40303550008684302</v>
      </c>
    </row>
    <row r="58" spans="1:3">
      <c r="A58" t="s">
        <v>8</v>
      </c>
      <c r="B58">
        <v>1</v>
      </c>
      <c r="C58">
        <v>1.5526217999867999</v>
      </c>
    </row>
    <row r="59" spans="1:3">
      <c r="A59" t="s">
        <v>8</v>
      </c>
      <c r="B59">
        <v>1</v>
      </c>
      <c r="C59">
        <v>1.3869447000324699</v>
      </c>
    </row>
    <row r="60" spans="1:3">
      <c r="A60" t="s">
        <v>6</v>
      </c>
      <c r="B60">
        <v>1</v>
      </c>
      <c r="C60">
        <v>0.75393570004962296</v>
      </c>
    </row>
    <row r="61" spans="1:3">
      <c r="A61" t="s">
        <v>6</v>
      </c>
      <c r="B61">
        <v>1</v>
      </c>
      <c r="C61">
        <v>0.57351889996789396</v>
      </c>
    </row>
    <row r="62" spans="1:3">
      <c r="A62" t="s">
        <v>6</v>
      </c>
      <c r="B62">
        <v>1</v>
      </c>
      <c r="C62">
        <v>0.61891760001890295</v>
      </c>
    </row>
    <row r="63" spans="1:3">
      <c r="A63" t="s">
        <v>8</v>
      </c>
      <c r="B63">
        <v>1</v>
      </c>
      <c r="C63">
        <v>0.78740329993888702</v>
      </c>
    </row>
    <row r="64" spans="1:3">
      <c r="A64" t="s">
        <v>6</v>
      </c>
      <c r="B64">
        <v>1</v>
      </c>
      <c r="C64">
        <v>0.42782839993014898</v>
      </c>
    </row>
    <row r="65" spans="1:3">
      <c r="A65" t="s">
        <v>8</v>
      </c>
      <c r="B65">
        <v>1</v>
      </c>
      <c r="C65">
        <v>1.0468968998175101</v>
      </c>
    </row>
    <row r="66" spans="1:3">
      <c r="A66" t="s">
        <v>6</v>
      </c>
      <c r="B66">
        <v>1</v>
      </c>
      <c r="C66">
        <v>0.450868999818339</v>
      </c>
    </row>
    <row r="67" spans="1:3">
      <c r="A67" t="s">
        <v>6</v>
      </c>
      <c r="B67">
        <v>1</v>
      </c>
      <c r="C67">
        <v>0.35195509996265101</v>
      </c>
    </row>
    <row r="68" spans="1:3">
      <c r="A68" t="s">
        <v>8</v>
      </c>
      <c r="B68">
        <v>1</v>
      </c>
      <c r="C68">
        <v>1.04276899993419</v>
      </c>
    </row>
    <row r="69" spans="1:3">
      <c r="A69" t="s">
        <v>8</v>
      </c>
      <c r="B69">
        <v>1</v>
      </c>
      <c r="C69">
        <v>0.70281559997238197</v>
      </c>
    </row>
    <row r="70" spans="1:3">
      <c r="A70" t="s">
        <v>6</v>
      </c>
      <c r="B70">
        <v>1</v>
      </c>
      <c r="C70">
        <v>0.56712280004285198</v>
      </c>
    </row>
    <row r="71" spans="1:3">
      <c r="A71" t="s">
        <v>6</v>
      </c>
      <c r="B71">
        <v>1</v>
      </c>
      <c r="C71">
        <v>0.41962329996749698</v>
      </c>
    </row>
    <row r="72" spans="1:3" hidden="1">
      <c r="A72" t="s">
        <v>8</v>
      </c>
      <c r="B72">
        <v>0</v>
      </c>
      <c r="C72">
        <v>0.37037139991298301</v>
      </c>
    </row>
    <row r="73" spans="1:3">
      <c r="A73" t="s">
        <v>8</v>
      </c>
      <c r="B73">
        <v>1</v>
      </c>
      <c r="C73">
        <v>0.69102629995904796</v>
      </c>
    </row>
    <row r="74" spans="1:3">
      <c r="A74" t="s">
        <v>6</v>
      </c>
      <c r="B74">
        <v>1</v>
      </c>
      <c r="C74">
        <v>0.64888969995081403</v>
      </c>
    </row>
    <row r="75" spans="1:3">
      <c r="A75" t="s">
        <v>8</v>
      </c>
      <c r="B75">
        <v>1</v>
      </c>
      <c r="C75">
        <v>0.94260059995576695</v>
      </c>
    </row>
    <row r="76" spans="1:3">
      <c r="A76" t="s">
        <v>8</v>
      </c>
      <c r="B76">
        <v>1</v>
      </c>
      <c r="C76">
        <v>1.0941673999186601</v>
      </c>
    </row>
    <row r="77" spans="1:3">
      <c r="A77" t="s">
        <v>6</v>
      </c>
      <c r="B77">
        <v>1</v>
      </c>
      <c r="C77">
        <v>0.49941699998453198</v>
      </c>
    </row>
    <row r="78" spans="1:3">
      <c r="A78" t="s">
        <v>6</v>
      </c>
      <c r="B78">
        <v>1</v>
      </c>
      <c r="C78">
        <v>0.44310100004076902</v>
      </c>
    </row>
    <row r="79" spans="1:3" hidden="1">
      <c r="A79" t="s">
        <v>8</v>
      </c>
      <c r="B79">
        <v>0</v>
      </c>
      <c r="C79">
        <v>0.39322130009531903</v>
      </c>
    </row>
    <row r="80" spans="1:3">
      <c r="A80" t="s">
        <v>6</v>
      </c>
      <c r="B80">
        <v>1</v>
      </c>
      <c r="C80">
        <v>0.70214349986054003</v>
      </c>
    </row>
    <row r="81" spans="1:3">
      <c r="A81" t="s">
        <v>8</v>
      </c>
      <c r="B81">
        <v>1</v>
      </c>
      <c r="C81">
        <v>1.60035429988056</v>
      </c>
    </row>
    <row r="82" spans="1:3" hidden="1"/>
  </sheetData>
  <autoFilter ref="B1:B82" xr:uid="{F73DC8F0-5E7F-4D1A-89CF-12A973A9BF94}">
    <filterColumn colId="0">
      <filters>
        <filter val="1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85D49-8C22-4376-A8AD-A9D0EAE86D26}">
  <dimension ref="A1:H81"/>
  <sheetViews>
    <sheetView workbookViewId="0">
      <selection activeCell="G3" sqref="G3:H3"/>
    </sheetView>
  </sheetViews>
  <sheetFormatPr defaultRowHeight="15"/>
  <cols>
    <col min="1" max="1" width="11.140625" bestFit="1" customWidth="1"/>
    <col min="2" max="2" width="12.85546875" bestFit="1" customWidth="1"/>
    <col min="3" max="3" width="10.7109375" bestFit="1" customWidth="1"/>
    <col min="6" max="6" width="14.42578125" customWidth="1"/>
    <col min="7" max="7" width="15.5703125" customWidth="1"/>
    <col min="8" max="8" width="14" customWidth="1"/>
  </cols>
  <sheetData>
    <row r="1" spans="1:8">
      <c r="A1" s="1" t="s">
        <v>0</v>
      </c>
      <c r="B1" s="1" t="s">
        <v>1</v>
      </c>
      <c r="C1" s="1" t="s">
        <v>2</v>
      </c>
      <c r="F1" s="5" t="s">
        <v>3</v>
      </c>
      <c r="G1" s="5" t="s">
        <v>4</v>
      </c>
      <c r="H1" s="5" t="s">
        <v>5</v>
      </c>
    </row>
    <row r="2" spans="1:8">
      <c r="A2" t="s">
        <v>6</v>
      </c>
      <c r="B2">
        <v>1</v>
      </c>
      <c r="C2">
        <v>0.81587859988212497</v>
      </c>
      <c r="F2" t="s">
        <v>7</v>
      </c>
      <c r="G2" s="2">
        <f>AVERAGEIFS(C:C, A:A, "congruent", B:B, 1)</f>
        <v>0.49488198502222058</v>
      </c>
      <c r="H2" s="2">
        <f>AVERAGEIFS(C:C, A:A, "incongruent", B:B, 1)</f>
        <v>0.64584910498815495</v>
      </c>
    </row>
    <row r="3" spans="1:8" ht="29.25">
      <c r="A3" t="s">
        <v>8</v>
      </c>
      <c r="B3">
        <v>1</v>
      </c>
      <c r="C3">
        <v>0.98058869992382802</v>
      </c>
      <c r="F3" s="4" t="s">
        <v>9</v>
      </c>
      <c r="G3" s="3">
        <f>AVERAGEIF(A:A, "congruent", B:B)*100</f>
        <v>100</v>
      </c>
      <c r="H3" s="3">
        <f>AVERAGEIF(A:A, "incongruent", B:B)*100</f>
        <v>100</v>
      </c>
    </row>
    <row r="4" spans="1:8">
      <c r="A4" t="s">
        <v>8</v>
      </c>
      <c r="B4">
        <v>1</v>
      </c>
      <c r="C4">
        <v>1.76572860009036</v>
      </c>
    </row>
    <row r="5" spans="1:8">
      <c r="A5" t="s">
        <v>6</v>
      </c>
      <c r="B5">
        <v>1</v>
      </c>
      <c r="C5">
        <v>0.53422000003047199</v>
      </c>
    </row>
    <row r="6" spans="1:8">
      <c r="A6" t="s">
        <v>8</v>
      </c>
      <c r="B6">
        <v>1</v>
      </c>
      <c r="C6">
        <v>1.0716466000303599</v>
      </c>
    </row>
    <row r="7" spans="1:8">
      <c r="A7" t="s">
        <v>6</v>
      </c>
      <c r="B7">
        <v>1</v>
      </c>
      <c r="C7">
        <v>0.47326280013658101</v>
      </c>
    </row>
    <row r="8" spans="1:8">
      <c r="A8" t="s">
        <v>8</v>
      </c>
      <c r="B8">
        <v>1</v>
      </c>
      <c r="C8">
        <v>0.77823539986275103</v>
      </c>
    </row>
    <row r="9" spans="1:8">
      <c r="A9" t="s">
        <v>6</v>
      </c>
      <c r="B9">
        <v>1</v>
      </c>
      <c r="C9">
        <v>0.46888700011186302</v>
      </c>
    </row>
    <row r="10" spans="1:8">
      <c r="A10" t="s">
        <v>8</v>
      </c>
      <c r="B10">
        <v>1</v>
      </c>
      <c r="C10">
        <v>0.459788999985903</v>
      </c>
    </row>
    <row r="11" spans="1:8">
      <c r="A11" t="s">
        <v>6</v>
      </c>
      <c r="B11">
        <v>1</v>
      </c>
      <c r="C11">
        <v>0.70089249988086499</v>
      </c>
    </row>
    <row r="12" spans="1:8">
      <c r="A12" t="s">
        <v>8</v>
      </c>
      <c r="B12">
        <v>1</v>
      </c>
      <c r="C12">
        <v>0.48954940005205499</v>
      </c>
    </row>
    <row r="13" spans="1:8">
      <c r="A13" t="s">
        <v>6</v>
      </c>
      <c r="B13">
        <v>1</v>
      </c>
      <c r="C13">
        <v>0.88357890001498096</v>
      </c>
    </row>
    <row r="14" spans="1:8">
      <c r="A14" t="s">
        <v>6</v>
      </c>
      <c r="B14">
        <v>1</v>
      </c>
      <c r="C14">
        <v>0.50659320014528897</v>
      </c>
    </row>
    <row r="15" spans="1:8">
      <c r="A15" t="s">
        <v>6</v>
      </c>
      <c r="B15">
        <v>1</v>
      </c>
      <c r="C15">
        <v>0.52138709998689503</v>
      </c>
    </row>
    <row r="16" spans="1:8">
      <c r="A16" t="s">
        <v>8</v>
      </c>
      <c r="B16">
        <v>1</v>
      </c>
      <c r="C16">
        <v>0.62709959992207498</v>
      </c>
    </row>
    <row r="17" spans="1:3">
      <c r="A17" t="s">
        <v>8</v>
      </c>
      <c r="B17">
        <v>1</v>
      </c>
      <c r="C17">
        <v>0.51387530006468296</v>
      </c>
    </row>
    <row r="18" spans="1:3">
      <c r="A18" t="s">
        <v>8</v>
      </c>
      <c r="B18">
        <v>1</v>
      </c>
      <c r="C18">
        <v>0.50625650002621103</v>
      </c>
    </row>
    <row r="19" spans="1:3">
      <c r="A19" t="s">
        <v>6</v>
      </c>
      <c r="B19">
        <v>1</v>
      </c>
      <c r="C19">
        <v>0.50680910004302804</v>
      </c>
    </row>
    <row r="20" spans="1:3">
      <c r="A20" t="s">
        <v>6</v>
      </c>
      <c r="B20">
        <v>1</v>
      </c>
      <c r="C20">
        <v>0.39010850014164999</v>
      </c>
    </row>
    <row r="21" spans="1:3">
      <c r="A21" t="s">
        <v>8</v>
      </c>
      <c r="B21">
        <v>1</v>
      </c>
      <c r="C21">
        <v>0.58341389987617698</v>
      </c>
    </row>
    <row r="22" spans="1:3">
      <c r="A22" t="s">
        <v>8</v>
      </c>
      <c r="B22">
        <v>1</v>
      </c>
      <c r="C22">
        <v>0.59529899992048696</v>
      </c>
    </row>
    <row r="23" spans="1:3">
      <c r="A23" t="s">
        <v>6</v>
      </c>
      <c r="B23">
        <v>1</v>
      </c>
      <c r="C23">
        <v>0.46860609995201202</v>
      </c>
    </row>
    <row r="24" spans="1:3">
      <c r="A24" t="s">
        <v>6</v>
      </c>
      <c r="B24">
        <v>1</v>
      </c>
      <c r="C24">
        <v>0.596416200045496</v>
      </c>
    </row>
    <row r="25" spans="1:3">
      <c r="A25" t="s">
        <v>8</v>
      </c>
      <c r="B25">
        <v>1</v>
      </c>
      <c r="C25">
        <v>0.475679999915882</v>
      </c>
    </row>
    <row r="26" spans="1:3">
      <c r="A26" t="s">
        <v>6</v>
      </c>
      <c r="B26">
        <v>1</v>
      </c>
      <c r="C26">
        <v>0.36137579986825502</v>
      </c>
    </row>
    <row r="27" spans="1:3">
      <c r="A27" t="s">
        <v>8</v>
      </c>
      <c r="B27">
        <v>1</v>
      </c>
      <c r="C27">
        <v>0.55152309988625303</v>
      </c>
    </row>
    <row r="28" spans="1:3">
      <c r="A28" t="s">
        <v>8</v>
      </c>
      <c r="B28">
        <v>1</v>
      </c>
      <c r="C28">
        <v>0.85252429987303902</v>
      </c>
    </row>
    <row r="29" spans="1:3">
      <c r="A29" t="s">
        <v>6</v>
      </c>
      <c r="B29">
        <v>1</v>
      </c>
      <c r="C29">
        <v>0.34641959983855403</v>
      </c>
    </row>
    <row r="30" spans="1:3">
      <c r="A30" t="s">
        <v>8</v>
      </c>
      <c r="B30">
        <v>1</v>
      </c>
      <c r="C30">
        <v>0.25987570011056899</v>
      </c>
    </row>
    <row r="31" spans="1:3">
      <c r="A31" t="s">
        <v>8</v>
      </c>
      <c r="B31">
        <v>1</v>
      </c>
      <c r="C31">
        <v>1.0162152999546299</v>
      </c>
    </row>
    <row r="32" spans="1:3">
      <c r="A32" t="s">
        <v>6</v>
      </c>
      <c r="B32">
        <v>1</v>
      </c>
      <c r="C32">
        <v>0.474427700042724</v>
      </c>
    </row>
    <row r="33" spans="1:3">
      <c r="A33" t="s">
        <v>6</v>
      </c>
      <c r="B33">
        <v>1</v>
      </c>
      <c r="C33">
        <v>0.38580409996211501</v>
      </c>
    </row>
    <row r="34" spans="1:3">
      <c r="A34" t="s">
        <v>6</v>
      </c>
      <c r="B34">
        <v>1</v>
      </c>
      <c r="C34">
        <v>0.47384930006228299</v>
      </c>
    </row>
    <row r="35" spans="1:3">
      <c r="A35" t="s">
        <v>8</v>
      </c>
      <c r="B35">
        <v>1</v>
      </c>
      <c r="C35">
        <v>1.35667319991625</v>
      </c>
    </row>
    <row r="36" spans="1:3">
      <c r="A36" t="s">
        <v>8</v>
      </c>
      <c r="B36">
        <v>1</v>
      </c>
      <c r="C36">
        <v>0.65293890004977495</v>
      </c>
    </row>
    <row r="37" spans="1:3">
      <c r="A37" t="s">
        <v>6</v>
      </c>
      <c r="B37">
        <v>1</v>
      </c>
      <c r="C37">
        <v>0.56322390004061096</v>
      </c>
    </row>
    <row r="38" spans="1:3">
      <c r="A38" t="s">
        <v>8</v>
      </c>
      <c r="B38">
        <v>1</v>
      </c>
      <c r="C38">
        <v>0.486211999785155</v>
      </c>
    </row>
    <row r="39" spans="1:3">
      <c r="A39" t="s">
        <v>8</v>
      </c>
      <c r="B39">
        <v>1</v>
      </c>
      <c r="C39">
        <v>0.439305100124329</v>
      </c>
    </row>
    <row r="40" spans="1:3">
      <c r="A40" t="s">
        <v>6</v>
      </c>
      <c r="B40">
        <v>1</v>
      </c>
      <c r="C40">
        <v>0.478768900036811</v>
      </c>
    </row>
    <row r="41" spans="1:3">
      <c r="A41" t="s">
        <v>6</v>
      </c>
      <c r="B41">
        <v>1</v>
      </c>
      <c r="C41">
        <v>0.46210419991984902</v>
      </c>
    </row>
    <row r="42" spans="1:3">
      <c r="A42" t="s">
        <v>8</v>
      </c>
      <c r="B42">
        <v>1</v>
      </c>
      <c r="C42">
        <v>1.4329683000687501</v>
      </c>
    </row>
    <row r="43" spans="1:3">
      <c r="A43" t="s">
        <v>6</v>
      </c>
      <c r="B43">
        <v>1</v>
      </c>
      <c r="C43">
        <v>0.44519350002519698</v>
      </c>
    </row>
    <row r="44" spans="1:3">
      <c r="A44" t="s">
        <v>8</v>
      </c>
      <c r="B44">
        <v>1</v>
      </c>
      <c r="C44">
        <v>0.45213099988177402</v>
      </c>
    </row>
    <row r="45" spans="1:3">
      <c r="A45" t="s">
        <v>6</v>
      </c>
      <c r="B45">
        <v>1</v>
      </c>
      <c r="C45">
        <v>0.95416419999673896</v>
      </c>
    </row>
    <row r="46" spans="1:3">
      <c r="A46" t="s">
        <v>8</v>
      </c>
      <c r="B46">
        <v>1</v>
      </c>
      <c r="C46">
        <v>0.50523250014521104</v>
      </c>
    </row>
    <row r="47" spans="1:3">
      <c r="A47" t="s">
        <v>6</v>
      </c>
      <c r="B47">
        <v>1</v>
      </c>
      <c r="C47">
        <v>0.58256409992463798</v>
      </c>
    </row>
    <row r="48" spans="1:3">
      <c r="A48" t="s">
        <v>6</v>
      </c>
      <c r="B48">
        <v>1</v>
      </c>
      <c r="C48">
        <v>0.39278090000152499</v>
      </c>
    </row>
    <row r="49" spans="1:3">
      <c r="A49" t="s">
        <v>8</v>
      </c>
      <c r="B49">
        <v>1</v>
      </c>
      <c r="C49">
        <v>0.59244789998046998</v>
      </c>
    </row>
    <row r="50" spans="1:3">
      <c r="A50" t="s">
        <v>8</v>
      </c>
      <c r="B50">
        <v>1</v>
      </c>
      <c r="C50">
        <v>0.48495219997130301</v>
      </c>
    </row>
    <row r="51" spans="1:3">
      <c r="A51" t="s">
        <v>8</v>
      </c>
      <c r="B51">
        <v>1</v>
      </c>
      <c r="C51">
        <v>0.49819209985434998</v>
      </c>
    </row>
    <row r="52" spans="1:3">
      <c r="A52" t="s">
        <v>6</v>
      </c>
      <c r="B52">
        <v>1</v>
      </c>
      <c r="C52">
        <v>0.42013740004040301</v>
      </c>
    </row>
    <row r="53" spans="1:3">
      <c r="A53" t="s">
        <v>6</v>
      </c>
      <c r="B53">
        <v>1</v>
      </c>
      <c r="C53">
        <v>0.400763700017705</v>
      </c>
    </row>
    <row r="54" spans="1:3">
      <c r="A54" t="s">
        <v>6</v>
      </c>
      <c r="B54">
        <v>1</v>
      </c>
      <c r="C54">
        <v>0.36527820001356298</v>
      </c>
    </row>
    <row r="55" spans="1:3">
      <c r="A55" t="s">
        <v>8</v>
      </c>
      <c r="B55">
        <v>1</v>
      </c>
      <c r="C55">
        <v>0.55456069996580404</v>
      </c>
    </row>
    <row r="56" spans="1:3">
      <c r="A56" t="s">
        <v>6</v>
      </c>
      <c r="B56">
        <v>1</v>
      </c>
      <c r="C56">
        <v>0.41827500006183899</v>
      </c>
    </row>
    <row r="57" spans="1:3">
      <c r="A57" t="s">
        <v>8</v>
      </c>
      <c r="B57">
        <v>1</v>
      </c>
      <c r="C57">
        <v>0.52284280001185801</v>
      </c>
    </row>
    <row r="58" spans="1:3">
      <c r="A58" t="s">
        <v>6</v>
      </c>
      <c r="B58">
        <v>1</v>
      </c>
      <c r="C58">
        <v>0.41703440016135501</v>
      </c>
    </row>
    <row r="59" spans="1:3">
      <c r="A59" t="s">
        <v>6</v>
      </c>
      <c r="B59">
        <v>1</v>
      </c>
      <c r="C59">
        <v>0.48259360017254899</v>
      </c>
    </row>
    <row r="60" spans="1:3">
      <c r="A60" t="s">
        <v>8</v>
      </c>
      <c r="B60">
        <v>1</v>
      </c>
      <c r="C60">
        <v>0.51656900020316199</v>
      </c>
    </row>
    <row r="61" spans="1:3">
      <c r="A61" t="s">
        <v>8</v>
      </c>
      <c r="B61">
        <v>1</v>
      </c>
      <c r="C61">
        <v>0.49424949986860101</v>
      </c>
    </row>
    <row r="62" spans="1:3">
      <c r="A62" t="s">
        <v>6</v>
      </c>
      <c r="B62">
        <v>1</v>
      </c>
      <c r="C62">
        <v>0.44676960003562199</v>
      </c>
    </row>
    <row r="63" spans="1:3">
      <c r="A63" t="s">
        <v>8</v>
      </c>
      <c r="B63">
        <v>1</v>
      </c>
      <c r="C63">
        <v>0.53260429995134395</v>
      </c>
    </row>
    <row r="64" spans="1:3">
      <c r="A64" t="s">
        <v>8</v>
      </c>
      <c r="B64">
        <v>1</v>
      </c>
      <c r="C64">
        <v>0.48151619988493599</v>
      </c>
    </row>
    <row r="65" spans="1:3">
      <c r="A65" t="s">
        <v>6</v>
      </c>
      <c r="B65">
        <v>1</v>
      </c>
      <c r="C65">
        <v>0.47178800008259703</v>
      </c>
    </row>
    <row r="66" spans="1:3">
      <c r="A66" t="s">
        <v>6</v>
      </c>
      <c r="B66">
        <v>1</v>
      </c>
      <c r="C66">
        <v>0.45267520006745998</v>
      </c>
    </row>
    <row r="67" spans="1:3">
      <c r="A67" t="s">
        <v>8</v>
      </c>
      <c r="B67">
        <v>1</v>
      </c>
      <c r="C67">
        <v>0.55180029990151502</v>
      </c>
    </row>
    <row r="68" spans="1:3">
      <c r="A68" t="s">
        <v>8</v>
      </c>
      <c r="B68">
        <v>1</v>
      </c>
      <c r="C68">
        <v>0.46827520010992801</v>
      </c>
    </row>
    <row r="69" spans="1:3">
      <c r="A69" t="s">
        <v>6</v>
      </c>
      <c r="B69">
        <v>1</v>
      </c>
      <c r="C69">
        <v>0.477282800013199</v>
      </c>
    </row>
    <row r="70" spans="1:3">
      <c r="A70" t="s">
        <v>8</v>
      </c>
      <c r="B70">
        <v>1</v>
      </c>
      <c r="C70">
        <v>0.57354980008676604</v>
      </c>
    </row>
    <row r="71" spans="1:3">
      <c r="A71" t="s">
        <v>6</v>
      </c>
      <c r="B71">
        <v>1</v>
      </c>
      <c r="C71">
        <v>0.45717879990115701</v>
      </c>
    </row>
    <row r="72" spans="1:3">
      <c r="A72" t="s">
        <v>8</v>
      </c>
      <c r="B72">
        <v>1</v>
      </c>
      <c r="C72">
        <v>0.57541529997251895</v>
      </c>
    </row>
    <row r="73" spans="1:3">
      <c r="A73" t="s">
        <v>6</v>
      </c>
      <c r="B73">
        <v>1</v>
      </c>
      <c r="C73">
        <v>0.51895350008271601</v>
      </c>
    </row>
    <row r="74" spans="1:3">
      <c r="A74" t="s">
        <v>8</v>
      </c>
      <c r="B74">
        <v>1</v>
      </c>
      <c r="C74">
        <v>0.47678130003623598</v>
      </c>
    </row>
    <row r="75" spans="1:3">
      <c r="A75" t="s">
        <v>6</v>
      </c>
      <c r="B75">
        <v>1</v>
      </c>
      <c r="C75">
        <v>0.37619190011173398</v>
      </c>
    </row>
    <row r="76" spans="1:3">
      <c r="A76" t="s">
        <v>8</v>
      </c>
      <c r="B76">
        <v>1</v>
      </c>
      <c r="C76">
        <v>0.64686930016614497</v>
      </c>
    </row>
    <row r="77" spans="1:3">
      <c r="A77" t="s">
        <v>6</v>
      </c>
      <c r="B77">
        <v>1</v>
      </c>
      <c r="C77">
        <v>0.40817469987086902</v>
      </c>
    </row>
    <row r="78" spans="1:3">
      <c r="A78" t="s">
        <v>6</v>
      </c>
      <c r="B78">
        <v>1</v>
      </c>
      <c r="C78">
        <v>0.47253950010053802</v>
      </c>
    </row>
    <row r="79" spans="1:3">
      <c r="A79" t="s">
        <v>8</v>
      </c>
      <c r="B79">
        <v>1</v>
      </c>
      <c r="C79">
        <v>0.52546579996123899</v>
      </c>
    </row>
    <row r="80" spans="1:3">
      <c r="A80" t="s">
        <v>6</v>
      </c>
      <c r="B80">
        <v>1</v>
      </c>
      <c r="C80">
        <v>0.422326900064945</v>
      </c>
    </row>
    <row r="81" spans="1:3">
      <c r="A81" t="s">
        <v>8</v>
      </c>
      <c r="B81">
        <v>1</v>
      </c>
      <c r="C81">
        <v>0.485111100133508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2025-11-11T05:51:54Z</dcterms:created>
  <dcterms:modified xsi:type="dcterms:W3CDTF">2025-11-20T11:20:49Z</dcterms:modified>
  <cp:category/>
  <cp:contentStatus/>
</cp:coreProperties>
</file>