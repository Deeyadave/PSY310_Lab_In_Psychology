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Documents/"/>
    </mc:Choice>
  </mc:AlternateContent>
  <xr:revisionPtr revIDLastSave="0" documentId="8_{98C965E1-6D1F-4BA2-AA48-4AE1BF16AA4D}" xr6:coauthVersionLast="47" xr6:coauthVersionMax="47" xr10:uidLastSave="{00000000-0000-0000-0000-000000000000}"/>
  <bookViews>
    <workbookView xWindow="-98" yWindow="-98" windowWidth="21795" windowHeight="13335" xr2:uid="{961085B2-169A-48F4-A953-A313861A30AB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25" i="1"/>
  <c r="O26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D2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5" i="1"/>
  <c r="G26" i="1" s="1"/>
  <c r="D3" i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G3" i="1" l="1"/>
  <c r="G5" i="1"/>
  <c r="G28" i="1"/>
  <c r="O3" i="1"/>
  <c r="O5" i="1"/>
  <c r="O28" i="1"/>
  <c r="O30" i="1" s="1"/>
  <c r="G7" i="1"/>
  <c r="G30" i="1"/>
  <c r="O7" i="1" l="1"/>
</calcChain>
</file>

<file path=xl/sharedStrings.xml><?xml version="1.0" encoding="utf-8"?>
<sst xmlns="http://schemas.openxmlformats.org/spreadsheetml/2006/main" count="260" uniqueCount="55">
  <si>
    <t>Reference</t>
  </si>
  <si>
    <t>old_new</t>
  </si>
  <si>
    <t>test_textbox.text</t>
  </si>
  <si>
    <t>Correct</t>
  </si>
  <si>
    <t>Participant 1</t>
  </si>
  <si>
    <t>Participant 3</t>
  </si>
  <si>
    <t>Marble</t>
  </si>
  <si>
    <t>old</t>
  </si>
  <si>
    <t>marble</t>
  </si>
  <si>
    <t>Chart</t>
  </si>
  <si>
    <t>chart</t>
  </si>
  <si>
    <t>Bottle</t>
  </si>
  <si>
    <t>new</t>
  </si>
  <si>
    <t>Proportion hit of primed words</t>
  </si>
  <si>
    <t>mouse</t>
  </si>
  <si>
    <t>Table</t>
  </si>
  <si>
    <t>table</t>
  </si>
  <si>
    <t>Camera</t>
  </si>
  <si>
    <t>camera</t>
  </si>
  <si>
    <t>Proportion hit of non-primed words</t>
  </si>
  <si>
    <t>Tshirt</t>
  </si>
  <si>
    <t>tshirt</t>
  </si>
  <si>
    <t>t-shirt</t>
  </si>
  <si>
    <t>Pencil</t>
  </si>
  <si>
    <t>pencil</t>
  </si>
  <si>
    <t>Case</t>
  </si>
  <si>
    <t>case</t>
  </si>
  <si>
    <t>Priming score</t>
  </si>
  <si>
    <t>Keys</t>
  </si>
  <si>
    <t>keys</t>
  </si>
  <si>
    <t>Cruise</t>
  </si>
  <si>
    <t>Laptop</t>
  </si>
  <si>
    <t>laptop</t>
  </si>
  <si>
    <t>bottle</t>
  </si>
  <si>
    <t>Cushion</t>
  </si>
  <si>
    <t>cushion</t>
  </si>
  <si>
    <t>Book</t>
  </si>
  <si>
    <t>book</t>
  </si>
  <si>
    <t>Board</t>
  </si>
  <si>
    <t>board</t>
  </si>
  <si>
    <t>Pastry</t>
  </si>
  <si>
    <t>pastry</t>
  </si>
  <si>
    <t>Phone</t>
  </si>
  <si>
    <t>phone</t>
  </si>
  <si>
    <t>Police</t>
  </si>
  <si>
    <t>police</t>
  </si>
  <si>
    <t>cruise</t>
  </si>
  <si>
    <t>Poster</t>
  </si>
  <si>
    <t>poster</t>
  </si>
  <si>
    <t>Vase</t>
  </si>
  <si>
    <t>Participant 2</t>
  </si>
  <si>
    <t>Participant 4</t>
  </si>
  <si>
    <t xml:space="preserve">tshirt </t>
  </si>
  <si>
    <t>hat</t>
  </si>
  <si>
    <t>vase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</si>
</sst>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F6BA-72F0-4C46-B860-AF801B32D883}">
  <dimension ref="A1:O44"/>
  <sheetViews>
    <sheetView tabSelected="1" workbookViewId="0">
      <selection activeCell="F2" sqref="F2:G7"/>
    </sheetView>
  </sheetViews>
  <sheetFormatPr defaultRowHeight="14.25"/>
  <cols>
    <col min="1" max="1" width="9.85546875" customWidth="1"/>
    <col min="3" max="3" width="14.140625" bestFit="1" customWidth="1"/>
    <col min="6" max="6" width="28.5703125" bestFit="1" customWidth="1"/>
    <col min="11" max="11" width="15.7109375" bestFit="1" customWidth="1"/>
    <col min="14" max="14" width="31.7109375" bestFit="1" customWidth="1"/>
  </cols>
  <sheetData>
    <row r="1" spans="1:15" ht="15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4"/>
      <c r="I1" s="2" t="s">
        <v>0</v>
      </c>
      <c r="J1" s="2" t="s">
        <v>1</v>
      </c>
      <c r="K1" s="2" t="s">
        <v>2</v>
      </c>
      <c r="L1" s="2" t="s">
        <v>3</v>
      </c>
      <c r="N1" s="3" t="s">
        <v>5</v>
      </c>
      <c r="O1" s="4"/>
    </row>
    <row r="2" spans="1:15" ht="15">
      <c r="A2" t="s">
        <v>6</v>
      </c>
      <c r="B2" t="s">
        <v>7</v>
      </c>
      <c r="C2" s="1" t="s">
        <v>8</v>
      </c>
      <c r="D2">
        <f>IF(TRIM(LOWER(A2)) = TRIM(LOWER(C2)), 1, 0)</f>
        <v>1</v>
      </c>
      <c r="F2" s="4"/>
      <c r="G2" s="4"/>
      <c r="I2" t="s">
        <v>9</v>
      </c>
      <c r="J2" t="s">
        <v>7</v>
      </c>
      <c r="K2" t="s">
        <v>10</v>
      </c>
      <c r="L2">
        <f>IF(TRIM(LOWER(I2)) = TRIM(LOWER(K2)), 1, 0)</f>
        <v>1</v>
      </c>
      <c r="N2" s="4"/>
      <c r="O2" s="4"/>
    </row>
    <row r="3" spans="1:15" ht="15">
      <c r="A3" t="s">
        <v>11</v>
      </c>
      <c r="B3" t="s">
        <v>12</v>
      </c>
      <c r="D3">
        <f t="shared" ref="D3:D18" si="0">IF(TRIM(LOWER(A3)) = TRIM(LOWER(C3)), 1, 0)</f>
        <v>0</v>
      </c>
      <c r="F3" s="5" t="s">
        <v>13</v>
      </c>
      <c r="G3" s="4">
        <f>AVERAGEIFS(D2:D20,B2:B20, "old")</f>
        <v>1</v>
      </c>
      <c r="I3" t="s">
        <v>6</v>
      </c>
      <c r="J3" t="s">
        <v>7</v>
      </c>
      <c r="K3" t="s">
        <v>8</v>
      </c>
      <c r="L3">
        <f t="shared" ref="L3:L21" si="1">IF(TRIM(LOWER(I3)) = TRIM(LOWER(K3)), 1, 0)</f>
        <v>1</v>
      </c>
      <c r="N3" s="5" t="s">
        <v>13</v>
      </c>
      <c r="O3" s="4">
        <f>AVERAGEIFS(L2:L21,J2:J21, "old")</f>
        <v>0.8666666666666667</v>
      </c>
    </row>
    <row r="4" spans="1:15" ht="15">
      <c r="A4" t="s">
        <v>14</v>
      </c>
      <c r="B4" t="s">
        <v>7</v>
      </c>
      <c r="C4" t="s">
        <v>14</v>
      </c>
      <c r="D4">
        <f t="shared" si="0"/>
        <v>1</v>
      </c>
      <c r="F4" s="4"/>
      <c r="G4" s="4"/>
      <c r="I4" t="s">
        <v>15</v>
      </c>
      <c r="J4" t="s">
        <v>12</v>
      </c>
      <c r="K4" t="s">
        <v>16</v>
      </c>
      <c r="L4">
        <f t="shared" si="1"/>
        <v>1</v>
      </c>
      <c r="N4" s="4"/>
      <c r="O4" s="4"/>
    </row>
    <row r="5" spans="1:15" ht="15">
      <c r="A5" t="s">
        <v>17</v>
      </c>
      <c r="B5" t="s">
        <v>12</v>
      </c>
      <c r="C5" t="s">
        <v>18</v>
      </c>
      <c r="D5">
        <f t="shared" si="0"/>
        <v>1</v>
      </c>
      <c r="F5" s="5" t="s">
        <v>19</v>
      </c>
      <c r="G5" s="4">
        <f>AVERAGEIFS(D2:D20,B2:B20, "new")</f>
        <v>0.75</v>
      </c>
      <c r="I5" t="s">
        <v>20</v>
      </c>
      <c r="J5" t="s">
        <v>7</v>
      </c>
      <c r="K5" t="s">
        <v>21</v>
      </c>
      <c r="L5">
        <f t="shared" si="1"/>
        <v>1</v>
      </c>
      <c r="N5" s="5" t="s">
        <v>19</v>
      </c>
      <c r="O5" s="4">
        <f>AVERAGEIFS(L2:L21,J2:J21, "new")</f>
        <v>0.8</v>
      </c>
    </row>
    <row r="6" spans="1:15" ht="15">
      <c r="A6" t="s">
        <v>20</v>
      </c>
      <c r="B6" t="s">
        <v>7</v>
      </c>
      <c r="C6" t="s">
        <v>22</v>
      </c>
      <c r="D6">
        <v>1</v>
      </c>
      <c r="F6" s="4"/>
      <c r="G6" s="4"/>
      <c r="I6" t="s">
        <v>23</v>
      </c>
      <c r="J6" t="s">
        <v>12</v>
      </c>
      <c r="K6" t="s">
        <v>24</v>
      </c>
      <c r="L6">
        <f t="shared" si="1"/>
        <v>1</v>
      </c>
      <c r="N6" s="4"/>
      <c r="O6" s="4"/>
    </row>
    <row r="7" spans="1:15" ht="15">
      <c r="A7" t="s">
        <v>25</v>
      </c>
      <c r="B7" t="s">
        <v>7</v>
      </c>
      <c r="C7" t="s">
        <v>26</v>
      </c>
      <c r="D7">
        <f t="shared" si="0"/>
        <v>1</v>
      </c>
      <c r="F7" s="5" t="s">
        <v>27</v>
      </c>
      <c r="G7" s="4">
        <f>G3-G5</f>
        <v>0.25</v>
      </c>
      <c r="I7" t="s">
        <v>28</v>
      </c>
      <c r="J7" t="s">
        <v>7</v>
      </c>
      <c r="K7" s="1" t="s">
        <v>29</v>
      </c>
      <c r="L7">
        <f t="shared" si="1"/>
        <v>1</v>
      </c>
      <c r="N7" s="5" t="s">
        <v>27</v>
      </c>
      <c r="O7" s="4">
        <f>O3-O5</f>
        <v>6.6666666666666652E-2</v>
      </c>
    </row>
    <row r="8" spans="1:15" ht="15">
      <c r="A8" t="s">
        <v>9</v>
      </c>
      <c r="B8" t="s">
        <v>7</v>
      </c>
      <c r="C8" t="s">
        <v>10</v>
      </c>
      <c r="D8">
        <f t="shared" si="0"/>
        <v>1</v>
      </c>
      <c r="I8" t="s">
        <v>17</v>
      </c>
      <c r="J8" t="s">
        <v>12</v>
      </c>
      <c r="K8" t="s">
        <v>18</v>
      </c>
      <c r="L8">
        <f t="shared" si="1"/>
        <v>1</v>
      </c>
    </row>
    <row r="9" spans="1:15" ht="15">
      <c r="A9" t="s">
        <v>23</v>
      </c>
      <c r="B9" t="s">
        <v>12</v>
      </c>
      <c r="C9" t="s">
        <v>24</v>
      </c>
      <c r="D9">
        <f t="shared" si="0"/>
        <v>1</v>
      </c>
      <c r="I9" t="s">
        <v>30</v>
      </c>
      <c r="J9" t="s">
        <v>7</v>
      </c>
      <c r="L9">
        <f t="shared" si="1"/>
        <v>0</v>
      </c>
    </row>
    <row r="10" spans="1:15" ht="15">
      <c r="A10" t="s">
        <v>31</v>
      </c>
      <c r="B10" t="s">
        <v>7</v>
      </c>
      <c r="C10" t="s">
        <v>32</v>
      </c>
      <c r="D10">
        <f t="shared" si="0"/>
        <v>1</v>
      </c>
      <c r="I10" t="s">
        <v>11</v>
      </c>
      <c r="J10" t="s">
        <v>12</v>
      </c>
      <c r="K10" s="1" t="s">
        <v>33</v>
      </c>
      <c r="L10">
        <f t="shared" si="1"/>
        <v>1</v>
      </c>
    </row>
    <row r="11" spans="1:15" ht="15">
      <c r="A11" t="s">
        <v>34</v>
      </c>
      <c r="B11" t="s">
        <v>7</v>
      </c>
      <c r="C11" t="s">
        <v>35</v>
      </c>
      <c r="D11">
        <f t="shared" si="0"/>
        <v>1</v>
      </c>
      <c r="I11" t="s">
        <v>36</v>
      </c>
      <c r="J11" t="s">
        <v>7</v>
      </c>
      <c r="K11" t="s">
        <v>37</v>
      </c>
      <c r="L11">
        <f t="shared" si="1"/>
        <v>1</v>
      </c>
    </row>
    <row r="12" spans="1:15" ht="15">
      <c r="A12" t="s">
        <v>38</v>
      </c>
      <c r="B12" t="s">
        <v>7</v>
      </c>
      <c r="C12" t="s">
        <v>39</v>
      </c>
      <c r="D12">
        <f t="shared" si="0"/>
        <v>1</v>
      </c>
      <c r="I12" t="s">
        <v>40</v>
      </c>
      <c r="J12" t="s">
        <v>7</v>
      </c>
      <c r="K12" t="s">
        <v>41</v>
      </c>
      <c r="L12">
        <f t="shared" si="1"/>
        <v>1</v>
      </c>
    </row>
    <row r="13" spans="1:15" ht="15">
      <c r="A13" t="s">
        <v>42</v>
      </c>
      <c r="B13" t="s">
        <v>7</v>
      </c>
      <c r="C13" t="s">
        <v>43</v>
      </c>
      <c r="D13">
        <f t="shared" si="0"/>
        <v>1</v>
      </c>
      <c r="I13" t="s">
        <v>25</v>
      </c>
      <c r="J13" t="s">
        <v>7</v>
      </c>
      <c r="K13" t="s">
        <v>26</v>
      </c>
      <c r="L13">
        <f t="shared" si="1"/>
        <v>1</v>
      </c>
    </row>
    <row r="14" spans="1:15" ht="15">
      <c r="A14" t="s">
        <v>40</v>
      </c>
      <c r="B14" t="s">
        <v>7</v>
      </c>
      <c r="C14" t="s">
        <v>41</v>
      </c>
      <c r="D14">
        <f t="shared" si="0"/>
        <v>1</v>
      </c>
      <c r="I14" t="s">
        <v>44</v>
      </c>
      <c r="J14" t="s">
        <v>7</v>
      </c>
      <c r="K14" s="1" t="s">
        <v>45</v>
      </c>
      <c r="L14">
        <f t="shared" si="1"/>
        <v>1</v>
      </c>
    </row>
    <row r="15" spans="1:15" ht="15">
      <c r="A15" t="s">
        <v>28</v>
      </c>
      <c r="B15" t="s">
        <v>7</v>
      </c>
      <c r="C15" t="s">
        <v>29</v>
      </c>
      <c r="D15">
        <f t="shared" si="0"/>
        <v>1</v>
      </c>
      <c r="I15" t="s">
        <v>14</v>
      </c>
      <c r="J15" t="s">
        <v>7</v>
      </c>
      <c r="K15" t="s">
        <v>14</v>
      </c>
      <c r="L15">
        <f t="shared" si="1"/>
        <v>1</v>
      </c>
    </row>
    <row r="16" spans="1:15" ht="15">
      <c r="A16" t="s">
        <v>30</v>
      </c>
      <c r="B16" t="s">
        <v>7</v>
      </c>
      <c r="C16" t="s">
        <v>46</v>
      </c>
      <c r="D16">
        <f t="shared" si="0"/>
        <v>1</v>
      </c>
      <c r="I16" t="s">
        <v>42</v>
      </c>
      <c r="J16" t="s">
        <v>7</v>
      </c>
      <c r="L16">
        <f t="shared" si="1"/>
        <v>0</v>
      </c>
    </row>
    <row r="17" spans="1:15" ht="15">
      <c r="A17" t="s">
        <v>36</v>
      </c>
      <c r="B17" t="s">
        <v>7</v>
      </c>
      <c r="C17" t="s">
        <v>37</v>
      </c>
      <c r="D17">
        <f t="shared" si="0"/>
        <v>1</v>
      </c>
      <c r="I17" t="s">
        <v>38</v>
      </c>
      <c r="J17" t="s">
        <v>7</v>
      </c>
      <c r="K17" t="s">
        <v>39</v>
      </c>
      <c r="L17">
        <f t="shared" si="1"/>
        <v>1</v>
      </c>
    </row>
    <row r="18" spans="1:15" ht="15">
      <c r="A18" t="s">
        <v>15</v>
      </c>
      <c r="B18" t="s">
        <v>12</v>
      </c>
      <c r="C18" t="s">
        <v>16</v>
      </c>
      <c r="D18">
        <f t="shared" si="0"/>
        <v>1</v>
      </c>
      <c r="I18" t="s">
        <v>31</v>
      </c>
      <c r="J18" t="s">
        <v>7</v>
      </c>
      <c r="K18" t="s">
        <v>32</v>
      </c>
      <c r="L18">
        <f t="shared" si="1"/>
        <v>1</v>
      </c>
    </row>
    <row r="19" spans="1:15" ht="15">
      <c r="A19" t="s">
        <v>47</v>
      </c>
      <c r="B19" t="s">
        <v>7</v>
      </c>
      <c r="C19" t="s">
        <v>48</v>
      </c>
      <c r="D19">
        <f>IF(TRIM(LOWER(A19)) = TRIM(LOWER(C19)), 1, 0)</f>
        <v>1</v>
      </c>
      <c r="I19" t="s">
        <v>34</v>
      </c>
      <c r="J19" t="s">
        <v>7</v>
      </c>
      <c r="K19" t="s">
        <v>35</v>
      </c>
      <c r="L19">
        <f t="shared" si="1"/>
        <v>1</v>
      </c>
    </row>
    <row r="20" spans="1:15" ht="15">
      <c r="A20" t="s">
        <v>44</v>
      </c>
      <c r="B20" t="s">
        <v>7</v>
      </c>
      <c r="C20" t="s">
        <v>45</v>
      </c>
      <c r="D20">
        <f>IF(TRIM(LOWER(A20)) = TRIM(LOWER(C20)), 1, 0)</f>
        <v>1</v>
      </c>
      <c r="I20" t="s">
        <v>49</v>
      </c>
      <c r="J20" t="s">
        <v>12</v>
      </c>
      <c r="L20">
        <f t="shared" si="1"/>
        <v>0</v>
      </c>
    </row>
    <row r="21" spans="1:15" ht="15">
      <c r="I21" t="s">
        <v>47</v>
      </c>
      <c r="J21" t="s">
        <v>7</v>
      </c>
      <c r="K21" t="s">
        <v>48</v>
      </c>
      <c r="L21">
        <f t="shared" si="1"/>
        <v>1</v>
      </c>
    </row>
    <row r="24" spans="1:15" ht="15">
      <c r="A24" s="2" t="s">
        <v>0</v>
      </c>
      <c r="B24" s="2" t="s">
        <v>1</v>
      </c>
      <c r="C24" s="2" t="s">
        <v>2</v>
      </c>
      <c r="D24" s="2" t="s">
        <v>3</v>
      </c>
      <c r="F24" s="3" t="s">
        <v>50</v>
      </c>
      <c r="G24" s="4"/>
      <c r="I24" s="2" t="s">
        <v>0</v>
      </c>
      <c r="J24" s="2" t="s">
        <v>1</v>
      </c>
      <c r="K24" s="2" t="s">
        <v>2</v>
      </c>
      <c r="L24" s="2" t="s">
        <v>3</v>
      </c>
      <c r="N24" s="3" t="s">
        <v>51</v>
      </c>
      <c r="O24" s="4"/>
    </row>
    <row r="25" spans="1:15" ht="15">
      <c r="A25" t="s">
        <v>44</v>
      </c>
      <c r="B25" t="s">
        <v>7</v>
      </c>
      <c r="C25" t="s">
        <v>45</v>
      </c>
      <c r="D25">
        <f>IF(TRIM(LOWER(A25)) = TRIM(LOWER(C25)), 1, 0)</f>
        <v>1</v>
      </c>
      <c r="F25" s="4"/>
      <c r="G25" s="4"/>
      <c r="I25" t="s">
        <v>30</v>
      </c>
      <c r="J25" t="s">
        <v>7</v>
      </c>
      <c r="K25" t="s">
        <v>46</v>
      </c>
      <c r="L25">
        <f>IF(TRIM(LOWER(I25)) = TRIM(LOWER(K25)), 1, 0)</f>
        <v>1</v>
      </c>
      <c r="N25" s="4"/>
      <c r="O25" s="4"/>
    </row>
    <row r="26" spans="1:15" ht="15">
      <c r="A26" t="s">
        <v>11</v>
      </c>
      <c r="B26" t="s">
        <v>12</v>
      </c>
      <c r="C26" t="s">
        <v>33</v>
      </c>
      <c r="D26">
        <f t="shared" ref="D26:D31" si="2">IF(TRIM(LOWER(A26)) = TRIM(LOWER(C26)), 1, 0)</f>
        <v>1</v>
      </c>
      <c r="F26" s="5" t="s">
        <v>13</v>
      </c>
      <c r="G26" s="4">
        <f>AVERAGEIFS(D25:D44,B25:B44, "old")</f>
        <v>0.8</v>
      </c>
      <c r="I26" t="s">
        <v>28</v>
      </c>
      <c r="J26" t="s">
        <v>7</v>
      </c>
      <c r="K26" t="s">
        <v>29</v>
      </c>
      <c r="L26">
        <f t="shared" ref="L26:L32" si="3">IF(TRIM(LOWER(I26)) = TRIM(LOWER(K26)), 1, 0)</f>
        <v>1</v>
      </c>
      <c r="N26" s="5" t="s">
        <v>13</v>
      </c>
      <c r="O26" s="4">
        <f>AVERAGEIFS(L25:L43,J25:J43, "old")</f>
        <v>1</v>
      </c>
    </row>
    <row r="27" spans="1:15" ht="15">
      <c r="A27" t="s">
        <v>30</v>
      </c>
      <c r="B27" t="s">
        <v>7</v>
      </c>
      <c r="C27" t="s">
        <v>46</v>
      </c>
      <c r="D27">
        <f t="shared" si="2"/>
        <v>1</v>
      </c>
      <c r="F27" s="4"/>
      <c r="G27" s="4"/>
      <c r="I27" t="s">
        <v>31</v>
      </c>
      <c r="J27" t="s">
        <v>7</v>
      </c>
      <c r="K27" t="s">
        <v>32</v>
      </c>
      <c r="L27">
        <f t="shared" si="3"/>
        <v>1</v>
      </c>
      <c r="N27" s="4"/>
      <c r="O27" s="4"/>
    </row>
    <row r="28" spans="1:15" ht="15">
      <c r="A28" t="s">
        <v>36</v>
      </c>
      <c r="B28" t="s">
        <v>7</v>
      </c>
      <c r="C28" t="s">
        <v>37</v>
      </c>
      <c r="D28">
        <f t="shared" si="2"/>
        <v>1</v>
      </c>
      <c r="F28" s="5" t="s">
        <v>19</v>
      </c>
      <c r="G28" s="4">
        <f>AVERAGEIFS(D25:D44,B25:B44, "new")</f>
        <v>1</v>
      </c>
      <c r="I28" t="s">
        <v>20</v>
      </c>
      <c r="J28" t="s">
        <v>7</v>
      </c>
      <c r="K28" t="s">
        <v>52</v>
      </c>
      <c r="L28">
        <f t="shared" si="3"/>
        <v>1</v>
      </c>
      <c r="N28" s="5" t="s">
        <v>19</v>
      </c>
      <c r="O28" s="4">
        <f>AVERAGEIFS(L25:L43,J25:J43, "new")</f>
        <v>0.8</v>
      </c>
    </row>
    <row r="29" spans="1:15" ht="15">
      <c r="A29" t="s">
        <v>14</v>
      </c>
      <c r="B29" t="s">
        <v>7</v>
      </c>
      <c r="C29" t="s">
        <v>14</v>
      </c>
      <c r="D29">
        <f t="shared" si="2"/>
        <v>1</v>
      </c>
      <c r="F29" s="4"/>
      <c r="G29" s="4"/>
      <c r="I29" t="s">
        <v>44</v>
      </c>
      <c r="J29" t="s">
        <v>7</v>
      </c>
      <c r="K29" t="s">
        <v>45</v>
      </c>
      <c r="L29">
        <f t="shared" si="3"/>
        <v>1</v>
      </c>
      <c r="N29" s="4"/>
      <c r="O29" s="4"/>
    </row>
    <row r="30" spans="1:15" ht="15">
      <c r="A30" t="s">
        <v>9</v>
      </c>
      <c r="B30" t="s">
        <v>7</v>
      </c>
      <c r="D30">
        <f t="shared" si="2"/>
        <v>0</v>
      </c>
      <c r="F30" s="5" t="s">
        <v>27</v>
      </c>
      <c r="G30" s="4">
        <f>G26-G28</f>
        <v>-0.19999999999999996</v>
      </c>
      <c r="I30" t="s">
        <v>40</v>
      </c>
      <c r="J30" t="s">
        <v>7</v>
      </c>
      <c r="K30" t="s">
        <v>41</v>
      </c>
      <c r="L30">
        <f t="shared" si="3"/>
        <v>1</v>
      </c>
      <c r="N30" s="5" t="s">
        <v>27</v>
      </c>
      <c r="O30" s="4">
        <f>O26-O28</f>
        <v>0.19999999999999996</v>
      </c>
    </row>
    <row r="31" spans="1:15" ht="15">
      <c r="A31" t="s">
        <v>34</v>
      </c>
      <c r="B31" t="s">
        <v>7</v>
      </c>
      <c r="C31" t="s">
        <v>53</v>
      </c>
      <c r="D31">
        <f t="shared" si="2"/>
        <v>0</v>
      </c>
      <c r="I31" t="s">
        <v>36</v>
      </c>
      <c r="J31" t="s">
        <v>7</v>
      </c>
      <c r="K31" t="s">
        <v>37</v>
      </c>
      <c r="L31">
        <f t="shared" si="3"/>
        <v>1</v>
      </c>
    </row>
    <row r="32" spans="1:15" ht="15">
      <c r="A32" t="s">
        <v>49</v>
      </c>
      <c r="B32" t="s">
        <v>12</v>
      </c>
      <c r="C32" t="s">
        <v>54</v>
      </c>
      <c r="D32">
        <f>IF(TRIM(LOWER(A32)) = TRIM(LOWER(C32)), 1, 0)</f>
        <v>1</v>
      </c>
      <c r="I32" t="s">
        <v>9</v>
      </c>
      <c r="J32" t="s">
        <v>7</v>
      </c>
      <c r="K32" t="s">
        <v>10</v>
      </c>
      <c r="L32">
        <f t="shared" si="3"/>
        <v>1</v>
      </c>
    </row>
    <row r="33" spans="1:12" ht="15">
      <c r="A33" t="s">
        <v>40</v>
      </c>
      <c r="B33" t="s">
        <v>7</v>
      </c>
      <c r="C33" t="s">
        <v>48</v>
      </c>
      <c r="D33">
        <f>IF(TRIM(LOWER(A33)) = TRIM(LOWER(C33)), 1, 0)</f>
        <v>0</v>
      </c>
      <c r="I33" t="s">
        <v>11</v>
      </c>
      <c r="J33" t="s">
        <v>12</v>
      </c>
      <c r="K33" t="s">
        <v>33</v>
      </c>
      <c r="L33">
        <f>IF(TRIM(LOWER(I33)) = TRIM(LOWER(K33)), 1, 0)</f>
        <v>1</v>
      </c>
    </row>
    <row r="34" spans="1:12" ht="15">
      <c r="A34" t="s">
        <v>25</v>
      </c>
      <c r="B34" t="s">
        <v>7</v>
      </c>
      <c r="C34" t="s">
        <v>26</v>
      </c>
      <c r="D34">
        <f>IF(TRIM(LOWER(A34)) = TRIM(LOWER(C34)), 1, 0)</f>
        <v>1</v>
      </c>
      <c r="I34" t="s">
        <v>17</v>
      </c>
      <c r="J34" t="s">
        <v>12</v>
      </c>
      <c r="K34" t="s">
        <v>18</v>
      </c>
      <c r="L34">
        <f>IF(TRIM(LOWER(I34)) = TRIM(LOWER(K34)), 1, 0)</f>
        <v>1</v>
      </c>
    </row>
    <row r="35" spans="1:12" ht="15">
      <c r="A35" t="s">
        <v>28</v>
      </c>
      <c r="B35" t="s">
        <v>7</v>
      </c>
      <c r="C35" t="s">
        <v>29</v>
      </c>
      <c r="D35">
        <f>IF(TRIM(LOWER(A35)) = TRIM(LOWER(C35)), 1, 0)</f>
        <v>1</v>
      </c>
      <c r="I35" t="s">
        <v>15</v>
      </c>
      <c r="J35" t="s">
        <v>12</v>
      </c>
      <c r="L35">
        <f>IF(TRIM(LOWER(I35)) = TRIM(LOWER(K35)), 1, 0)</f>
        <v>0</v>
      </c>
    </row>
    <row r="36" spans="1:12" ht="15">
      <c r="A36" t="s">
        <v>17</v>
      </c>
      <c r="B36" t="s">
        <v>12</v>
      </c>
      <c r="C36" t="s">
        <v>18</v>
      </c>
      <c r="D36">
        <f>IF(TRIM(LOWER(A36)) = TRIM(LOWER(C36)), 1, 0)</f>
        <v>1</v>
      </c>
      <c r="I36" t="s">
        <v>47</v>
      </c>
      <c r="J36" t="s">
        <v>7</v>
      </c>
      <c r="K36" t="s">
        <v>48</v>
      </c>
      <c r="L36">
        <f>IF(TRIM(LOWER(I36)) = TRIM(LOWER(K36)), 1, 0)</f>
        <v>1</v>
      </c>
    </row>
    <row r="37" spans="1:12" ht="15">
      <c r="A37" t="s">
        <v>6</v>
      </c>
      <c r="B37" t="s">
        <v>7</v>
      </c>
      <c r="C37" t="s">
        <v>8</v>
      </c>
      <c r="D37">
        <f>IF(TRIM(LOWER(A37)) = TRIM(LOWER(C37)), 1, 0)</f>
        <v>1</v>
      </c>
      <c r="I37" t="s">
        <v>25</v>
      </c>
      <c r="J37" t="s">
        <v>7</v>
      </c>
      <c r="K37" t="s">
        <v>26</v>
      </c>
      <c r="L37">
        <f>IF(TRIM(LOWER(I37)) = TRIM(LOWER(K37)), 1, 0)</f>
        <v>1</v>
      </c>
    </row>
    <row r="38" spans="1:12" ht="15">
      <c r="A38" t="s">
        <v>31</v>
      </c>
      <c r="B38" t="s">
        <v>7</v>
      </c>
      <c r="C38" t="s">
        <v>32</v>
      </c>
      <c r="D38">
        <f>IF(TRIM(LOWER(A38)) = TRIM(LOWER(C38)), 1, 0)</f>
        <v>1</v>
      </c>
      <c r="I38" t="s">
        <v>49</v>
      </c>
      <c r="J38" t="s">
        <v>12</v>
      </c>
      <c r="K38" t="s">
        <v>54</v>
      </c>
      <c r="L38">
        <f>IF(TRIM(LOWER(I38)) = TRIM(LOWER(K38)), 1, 0)</f>
        <v>1</v>
      </c>
    </row>
    <row r="39" spans="1:12" ht="15">
      <c r="A39" t="s">
        <v>47</v>
      </c>
      <c r="B39" t="s">
        <v>7</v>
      </c>
      <c r="C39" t="s">
        <v>48</v>
      </c>
      <c r="D39">
        <f>IF(TRIM(LOWER(A39)) = TRIM(LOWER(C39)), 1, 0)</f>
        <v>1</v>
      </c>
      <c r="I39" t="s">
        <v>14</v>
      </c>
      <c r="J39" t="s">
        <v>7</v>
      </c>
      <c r="K39" t="s">
        <v>14</v>
      </c>
      <c r="L39">
        <f>IF(TRIM(LOWER(I39)) = TRIM(LOWER(K39)), 1, 0)</f>
        <v>1</v>
      </c>
    </row>
    <row r="40" spans="1:12" ht="15">
      <c r="A40" t="s">
        <v>38</v>
      </c>
      <c r="B40" t="s">
        <v>7</v>
      </c>
      <c r="C40" t="s">
        <v>39</v>
      </c>
      <c r="D40">
        <f>IF(TRIM(LOWER(A40)) = TRIM(LOWER(C40)), 1, 0)</f>
        <v>1</v>
      </c>
      <c r="I40" t="s">
        <v>23</v>
      </c>
      <c r="J40" t="s">
        <v>12</v>
      </c>
      <c r="K40" t="s">
        <v>24</v>
      </c>
      <c r="L40">
        <f>IF(TRIM(LOWER(I40)) = TRIM(LOWER(K40)), 1, 0)</f>
        <v>1</v>
      </c>
    </row>
    <row r="41" spans="1:12" ht="15">
      <c r="A41" t="s">
        <v>23</v>
      </c>
      <c r="B41" t="s">
        <v>12</v>
      </c>
      <c r="C41" t="s">
        <v>24</v>
      </c>
      <c r="D41">
        <f>IF(TRIM(LOWER(A41)) = TRIM(LOWER(C41)), 1, 0)</f>
        <v>1</v>
      </c>
      <c r="I41" t="s">
        <v>34</v>
      </c>
      <c r="J41" t="s">
        <v>7</v>
      </c>
      <c r="K41" t="s">
        <v>35</v>
      </c>
      <c r="L41">
        <f>IF(TRIM(LOWER(I41)) = TRIM(LOWER(K41)), 1, 0)</f>
        <v>1</v>
      </c>
    </row>
    <row r="42" spans="1:12" ht="15">
      <c r="A42" t="s">
        <v>15</v>
      </c>
      <c r="B42" t="s">
        <v>12</v>
      </c>
      <c r="C42" t="s">
        <v>16</v>
      </c>
      <c r="D42">
        <f>IF(TRIM(LOWER(A42)) = TRIM(LOWER(C42)), 1, 0)</f>
        <v>1</v>
      </c>
      <c r="I42" t="s">
        <v>38</v>
      </c>
      <c r="J42" t="s">
        <v>7</v>
      </c>
      <c r="K42" t="s">
        <v>39</v>
      </c>
      <c r="L42">
        <f>IF(TRIM(LOWER(I42)) = TRIM(LOWER(K42)), 1, 0)</f>
        <v>1</v>
      </c>
    </row>
    <row r="43" spans="1:12" ht="15">
      <c r="A43" t="s">
        <v>20</v>
      </c>
      <c r="B43" t="s">
        <v>7</v>
      </c>
      <c r="C43" t="s">
        <v>21</v>
      </c>
      <c r="D43">
        <f>IF(TRIM(LOWER(A43)) = TRIM(LOWER(C43)), 1, 0)</f>
        <v>1</v>
      </c>
      <c r="I43" t="s">
        <v>6</v>
      </c>
      <c r="J43" t="s">
        <v>7</v>
      </c>
      <c r="K43" t="s">
        <v>8</v>
      </c>
      <c r="L43">
        <f>IF(TRIM(LOWER(I43)) = TRIM(LOWER(K43)), 1, 0)</f>
        <v>1</v>
      </c>
    </row>
    <row r="44" spans="1:12" ht="15">
      <c r="A44" t="s">
        <v>42</v>
      </c>
      <c r="B44" t="s">
        <v>7</v>
      </c>
      <c r="C44" t="s">
        <v>43</v>
      </c>
      <c r="D44">
        <f>IF(TRIM(LOWER(A44)) = TRIM(LOWER(C44)), 1, 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2025-10-13T10:52:17Z</dcterms:created>
  <dcterms:modified xsi:type="dcterms:W3CDTF">2025-10-16T04:12:37Z</dcterms:modified>
  <cp:category/>
  <cp:contentStatus/>
</cp:coreProperties>
</file>